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D:\Shan\Costings\"/>
    </mc:Choice>
  </mc:AlternateContent>
  <xr:revisionPtr revIDLastSave="0" documentId="8_{2E3D0A51-4AC9-A549-88F4-F718E8C68DB6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Shaga" sheetId="65" r:id="rId1"/>
    <sheet name="A Tank" sheetId="64" r:id="rId2"/>
    <sheet name="Gildan regular" sheetId="63" r:id="rId3"/>
    <sheet name="Gildan Tall" sheetId="62" r:id="rId4"/>
    <sheet name="Youth group Sunny" sheetId="61" r:id="rId5"/>
    <sheet name="Hoody Tall" sheetId="60" r:id="rId6"/>
    <sheet name="Hoody Big" sheetId="59" r:id="rId7"/>
    <sheet name="Crew Fleece Tall" sheetId="58" r:id="rId8"/>
    <sheet name="Crew Fleece Big" sheetId="57" r:id="rId9"/>
    <sheet name="Crew Tall LS" sheetId="56" r:id="rId10"/>
    <sheet name="Crew Tall SS" sheetId="55" r:id="rId11"/>
    <sheet name="Crew Big LS" sheetId="54" r:id="rId12"/>
    <sheet name="Crew Big SS" sheetId="53" r:id="rId13"/>
    <sheet name="Crew regular" sheetId="52" r:id="rId14"/>
    <sheet name="Shaga 60 40 OE" sheetId="51" r:id="rId15"/>
    <sheet name="Shaga CB 180" sheetId="50" r:id="rId16"/>
    <sheet name="Shaga OE 145" sheetId="49" r:id="rId17"/>
    <sheet name="175 White Tubular" sheetId="48" r:id="rId18"/>
    <sheet name="175 Black Tubular" sheetId="47" r:id="rId19"/>
    <sheet name="175 White Side seam" sheetId="46" r:id="rId20"/>
    <sheet name="175 Black side seam" sheetId="45" r:id="rId21"/>
    <sheet name="145 White Tubular" sheetId="44" r:id="rId22"/>
    <sheet name="145 Black Tubular" sheetId="43" r:id="rId23"/>
    <sheet name="145 White Side seam" sheetId="42" r:id="rId24"/>
    <sheet name="145 Black side seam" sheetId="32" r:id="rId25"/>
  </sheets>
  <definedNames>
    <definedName name="_xlnm.Print_Area" localSheetId="24">'145 Black side seam'!$A$1:$H$45</definedName>
    <definedName name="_xlnm.Print_Area" localSheetId="22">'145 Black Tubular'!$A$1:$H$45</definedName>
    <definedName name="_xlnm.Print_Area" localSheetId="23">'145 White Side seam'!$A$1:$H$45</definedName>
    <definedName name="_xlnm.Print_Area" localSheetId="21">'145 White Tubular'!$A$1:$H$45</definedName>
    <definedName name="_xlnm.Print_Area" localSheetId="20">'175 Black side seam'!$A$1:$H$45</definedName>
    <definedName name="_xlnm.Print_Area" localSheetId="18">'175 Black Tubular'!$A$1:$H$45</definedName>
    <definedName name="_xlnm.Print_Area" localSheetId="19">'175 White Side seam'!$A$1:$H$45</definedName>
    <definedName name="_xlnm.Print_Area" localSheetId="17">'175 White Tubular'!$A$1:$H$45</definedName>
    <definedName name="_xlnm.Print_Area" localSheetId="1">'A Tank'!$A$1:$G$46</definedName>
    <definedName name="_xlnm.Print_Area" localSheetId="11">'Crew Big LS'!$A$1:$H$41</definedName>
    <definedName name="_xlnm.Print_Area" localSheetId="12">'Crew Big SS'!$A$1:$H$41</definedName>
    <definedName name="_xlnm.Print_Area" localSheetId="8">'Crew Fleece Big'!$A$1:$H$42</definedName>
    <definedName name="_xlnm.Print_Area" localSheetId="7">'Crew Fleece Tall'!$A$1:$H$42</definedName>
    <definedName name="_xlnm.Print_Area" localSheetId="13">'Crew regular'!$A$1:$H$41</definedName>
    <definedName name="_xlnm.Print_Area" localSheetId="9">'Crew Tall LS'!$A$1:$H$41</definedName>
    <definedName name="_xlnm.Print_Area" localSheetId="10">'Crew Tall SS'!$A$1:$H$41</definedName>
    <definedName name="_xlnm.Print_Area" localSheetId="2">'Gildan regular'!$A$1:$H$44</definedName>
    <definedName name="_xlnm.Print_Area" localSheetId="3">'Gildan Tall'!$A$1:$H$44</definedName>
    <definedName name="_xlnm.Print_Area" localSheetId="6">'Hoody Big'!$A$1:$H$44</definedName>
    <definedName name="_xlnm.Print_Area" localSheetId="5">'Hoody Tall'!$A$1:$H$44</definedName>
    <definedName name="_xlnm.Print_Area" localSheetId="0">Shaga!$A$1:$C$50</definedName>
    <definedName name="_xlnm.Print_Area" localSheetId="14">'Shaga 60 40 OE'!$A$1:$F$49</definedName>
    <definedName name="_xlnm.Print_Area" localSheetId="15">'Shaga CB 180'!$A$1:$H$50</definedName>
    <definedName name="_xlnm.Print_Area" localSheetId="16">'Shaga OE 145'!$A$1:$H$48</definedName>
    <definedName name="_xlnm.Print_Area" localSheetId="4">'Youth group Sunny'!$A$1:$H$44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W31" i="65" l="1"/>
  <c r="W32" i="65"/>
  <c r="W34" i="65"/>
  <c r="W18" i="65"/>
  <c r="W15" i="65"/>
  <c r="W14" i="65"/>
  <c r="U18" i="65"/>
  <c r="U31" i="65"/>
  <c r="U15" i="65"/>
  <c r="U14" i="65"/>
  <c r="S31" i="65"/>
  <c r="S32" i="65"/>
  <c r="S14" i="65"/>
  <c r="S21" i="65"/>
  <c r="Q31" i="65"/>
  <c r="Q32" i="65"/>
  <c r="Q14" i="65"/>
  <c r="Q15" i="65"/>
  <c r="Q18" i="65"/>
  <c r="Q21" i="65"/>
  <c r="O18" i="65"/>
  <c r="O31" i="65"/>
  <c r="O32" i="65"/>
  <c r="O15" i="65"/>
  <c r="O14" i="65"/>
  <c r="M18" i="65"/>
  <c r="M15" i="65"/>
  <c r="M14" i="65"/>
  <c r="M21" i="65"/>
  <c r="M31" i="65"/>
  <c r="K31" i="65"/>
  <c r="K14" i="65"/>
  <c r="K21" i="65"/>
  <c r="I31" i="65"/>
  <c r="I14" i="65"/>
  <c r="I21" i="65"/>
  <c r="G31" i="65"/>
  <c r="G32" i="65"/>
  <c r="G14" i="65"/>
  <c r="G21" i="65"/>
  <c r="E14" i="65"/>
  <c r="E21" i="65"/>
  <c r="E31" i="65"/>
  <c r="E32" i="65"/>
  <c r="C14" i="65"/>
  <c r="C21" i="65"/>
  <c r="C31" i="65"/>
  <c r="C32" i="65"/>
  <c r="C10" i="51"/>
  <c r="C14" i="51"/>
  <c r="C15" i="51"/>
  <c r="C16" i="51"/>
  <c r="D10" i="51"/>
  <c r="D14" i="51"/>
  <c r="D15" i="51"/>
  <c r="D16" i="51"/>
  <c r="E10" i="51"/>
  <c r="E14" i="51"/>
  <c r="E15" i="51"/>
  <c r="E16" i="51"/>
  <c r="G16" i="51"/>
  <c r="G15" i="51"/>
  <c r="C18" i="51"/>
  <c r="C27" i="64"/>
  <c r="C28" i="64"/>
  <c r="C30" i="64"/>
  <c r="C9" i="64"/>
  <c r="C12" i="64"/>
  <c r="C15" i="64"/>
  <c r="D9" i="64"/>
  <c r="D12" i="64"/>
  <c r="D15" i="64"/>
  <c r="E9" i="64"/>
  <c r="E12" i="64"/>
  <c r="E15" i="64"/>
  <c r="F9" i="64"/>
  <c r="F12" i="64"/>
  <c r="F15" i="64"/>
  <c r="G9" i="64"/>
  <c r="G12" i="64"/>
  <c r="G15" i="64"/>
  <c r="H15" i="64"/>
  <c r="H13" i="64"/>
  <c r="C17" i="64"/>
  <c r="C32" i="64"/>
  <c r="C34" i="64"/>
  <c r="W21" i="65"/>
  <c r="W36" i="65"/>
  <c r="W40" i="65"/>
  <c r="U21" i="65"/>
  <c r="U32" i="65"/>
  <c r="U34" i="65"/>
  <c r="U36" i="65"/>
  <c r="U40" i="65"/>
  <c r="S34" i="65"/>
  <c r="S36" i="65"/>
  <c r="S40" i="65"/>
  <c r="Q34" i="65"/>
  <c r="Q36" i="65"/>
  <c r="Q40" i="65"/>
  <c r="O21" i="65"/>
  <c r="O34" i="65"/>
  <c r="M32" i="65"/>
  <c r="M34" i="65"/>
  <c r="M36" i="65"/>
  <c r="M40" i="65"/>
  <c r="K32" i="65"/>
  <c r="K34" i="65"/>
  <c r="K36" i="65"/>
  <c r="K40" i="65"/>
  <c r="I32" i="65"/>
  <c r="I34" i="65"/>
  <c r="I36" i="65"/>
  <c r="I40" i="65"/>
  <c r="G34" i="65"/>
  <c r="G36" i="65"/>
  <c r="G40" i="65"/>
  <c r="E34" i="65"/>
  <c r="E36" i="65"/>
  <c r="E40" i="65"/>
  <c r="C34" i="65"/>
  <c r="C36" i="65"/>
  <c r="C40" i="65"/>
  <c r="J44" i="63"/>
  <c r="I44" i="63"/>
  <c r="H44" i="63"/>
  <c r="G44" i="63"/>
  <c r="F44" i="63"/>
  <c r="E44" i="63"/>
  <c r="D44" i="63"/>
  <c r="E25" i="63"/>
  <c r="E26" i="63"/>
  <c r="E28" i="63"/>
  <c r="D25" i="63"/>
  <c r="D26" i="63"/>
  <c r="D28" i="63"/>
  <c r="I25" i="63"/>
  <c r="I26" i="63"/>
  <c r="G25" i="63"/>
  <c r="G26" i="63"/>
  <c r="J25" i="63"/>
  <c r="J26" i="63"/>
  <c r="J28" i="63"/>
  <c r="I28" i="63"/>
  <c r="H25" i="63"/>
  <c r="H26" i="63"/>
  <c r="H28" i="63"/>
  <c r="G28" i="63"/>
  <c r="F25" i="63"/>
  <c r="F26" i="63"/>
  <c r="E10" i="63"/>
  <c r="E16" i="63"/>
  <c r="E30" i="63"/>
  <c r="E34" i="63"/>
  <c r="J10" i="63"/>
  <c r="J16" i="63"/>
  <c r="I10" i="63"/>
  <c r="I16" i="63"/>
  <c r="H10" i="63"/>
  <c r="H16" i="63"/>
  <c r="G10" i="63"/>
  <c r="G16" i="63"/>
  <c r="F10" i="63"/>
  <c r="F16" i="63"/>
  <c r="D10" i="63"/>
  <c r="D16" i="63"/>
  <c r="C44" i="63"/>
  <c r="C25" i="63"/>
  <c r="C26" i="63"/>
  <c r="C28" i="63"/>
  <c r="C10" i="63"/>
  <c r="C16" i="63"/>
  <c r="E44" i="62"/>
  <c r="D44" i="62"/>
  <c r="C44" i="62"/>
  <c r="E25" i="62"/>
  <c r="E26" i="62"/>
  <c r="E28" i="62"/>
  <c r="D25" i="62"/>
  <c r="D26" i="62"/>
  <c r="C25" i="62"/>
  <c r="C26" i="62"/>
  <c r="D28" i="62"/>
  <c r="C28" i="62"/>
  <c r="E10" i="62"/>
  <c r="E16" i="62"/>
  <c r="E30" i="62"/>
  <c r="E34" i="62"/>
  <c r="D10" i="62"/>
  <c r="D16" i="62"/>
  <c r="C10" i="62"/>
  <c r="C16" i="62"/>
  <c r="G44" i="61"/>
  <c r="F44" i="61"/>
  <c r="E44" i="61"/>
  <c r="D44" i="61"/>
  <c r="C44" i="61"/>
  <c r="C25" i="61"/>
  <c r="C26" i="61"/>
  <c r="G25" i="61"/>
  <c r="G26" i="61"/>
  <c r="G28" i="61"/>
  <c r="F25" i="61"/>
  <c r="F26" i="61"/>
  <c r="E25" i="61"/>
  <c r="E26" i="61"/>
  <c r="D25" i="61"/>
  <c r="D26" i="61"/>
  <c r="D28" i="61"/>
  <c r="G10" i="61"/>
  <c r="G16" i="61"/>
  <c r="F10" i="61"/>
  <c r="F16" i="61"/>
  <c r="E10" i="61"/>
  <c r="E16" i="61"/>
  <c r="D10" i="61"/>
  <c r="D16" i="61"/>
  <c r="C10" i="61"/>
  <c r="C16" i="61"/>
  <c r="I44" i="60"/>
  <c r="H44" i="60"/>
  <c r="G44" i="60"/>
  <c r="F44" i="60"/>
  <c r="E44" i="60"/>
  <c r="D44" i="60"/>
  <c r="C44" i="60"/>
  <c r="I25" i="60"/>
  <c r="H25" i="60"/>
  <c r="G25" i="60"/>
  <c r="F25" i="60"/>
  <c r="E25" i="60"/>
  <c r="E26" i="60"/>
  <c r="D25" i="60"/>
  <c r="C25" i="60"/>
  <c r="I10" i="60"/>
  <c r="I16" i="60"/>
  <c r="H10" i="60"/>
  <c r="H16" i="60"/>
  <c r="G10" i="60"/>
  <c r="G16" i="60"/>
  <c r="F10" i="60"/>
  <c r="F16" i="60"/>
  <c r="E10" i="60"/>
  <c r="E16" i="60"/>
  <c r="D10" i="60"/>
  <c r="D16" i="60"/>
  <c r="C10" i="60"/>
  <c r="C16" i="60"/>
  <c r="J44" i="59"/>
  <c r="J25" i="59"/>
  <c r="J10" i="59"/>
  <c r="J16" i="59"/>
  <c r="I44" i="59"/>
  <c r="H44" i="59"/>
  <c r="G44" i="59"/>
  <c r="F44" i="59"/>
  <c r="E44" i="59"/>
  <c r="D44" i="59"/>
  <c r="C44" i="59"/>
  <c r="F25" i="59"/>
  <c r="F26" i="59"/>
  <c r="F28" i="59"/>
  <c r="I25" i="59"/>
  <c r="I26" i="59"/>
  <c r="H25" i="59"/>
  <c r="G25" i="59"/>
  <c r="G26" i="59"/>
  <c r="G28" i="59"/>
  <c r="E25" i="59"/>
  <c r="E26" i="59"/>
  <c r="D25" i="59"/>
  <c r="D26" i="59"/>
  <c r="C25" i="59"/>
  <c r="C26" i="59"/>
  <c r="C28" i="59"/>
  <c r="E10" i="59"/>
  <c r="E16" i="59"/>
  <c r="I10" i="59"/>
  <c r="I16" i="59"/>
  <c r="H10" i="59"/>
  <c r="H16" i="59"/>
  <c r="G10" i="59"/>
  <c r="G16" i="59"/>
  <c r="F10" i="59"/>
  <c r="F16" i="59"/>
  <c r="D10" i="59"/>
  <c r="D16" i="59"/>
  <c r="C10" i="59"/>
  <c r="C16" i="59"/>
  <c r="I42" i="58"/>
  <c r="H42" i="58"/>
  <c r="G42" i="58"/>
  <c r="F42" i="58"/>
  <c r="E42" i="58"/>
  <c r="D42" i="58"/>
  <c r="C42" i="58"/>
  <c r="I23" i="58"/>
  <c r="H23" i="58"/>
  <c r="H24" i="58"/>
  <c r="G23" i="58"/>
  <c r="F23" i="58"/>
  <c r="E23" i="58"/>
  <c r="D23" i="58"/>
  <c r="C23" i="58"/>
  <c r="C24" i="58"/>
  <c r="I10" i="58"/>
  <c r="I14" i="58"/>
  <c r="H10" i="58"/>
  <c r="H14" i="58"/>
  <c r="G10" i="58"/>
  <c r="G14" i="58"/>
  <c r="F10" i="58"/>
  <c r="F14" i="58"/>
  <c r="E10" i="58"/>
  <c r="E14" i="58"/>
  <c r="D10" i="58"/>
  <c r="D14" i="58"/>
  <c r="C10" i="58"/>
  <c r="C14" i="58"/>
  <c r="J42" i="57"/>
  <c r="J23" i="57"/>
  <c r="J24" i="57"/>
  <c r="J26" i="57"/>
  <c r="J10" i="57"/>
  <c r="J14" i="57"/>
  <c r="I42" i="57"/>
  <c r="H42" i="57"/>
  <c r="G42" i="57"/>
  <c r="F42" i="57"/>
  <c r="E42" i="57"/>
  <c r="D42" i="57"/>
  <c r="C42" i="57"/>
  <c r="I23" i="57"/>
  <c r="I24" i="57"/>
  <c r="H23" i="57"/>
  <c r="G23" i="57"/>
  <c r="G24" i="57"/>
  <c r="G26" i="57"/>
  <c r="F23" i="57"/>
  <c r="F24" i="57"/>
  <c r="E23" i="57"/>
  <c r="E24" i="57"/>
  <c r="D23" i="57"/>
  <c r="D24" i="57"/>
  <c r="D26" i="57"/>
  <c r="C23" i="57"/>
  <c r="C24" i="57"/>
  <c r="I10" i="57"/>
  <c r="I14" i="57"/>
  <c r="H10" i="57"/>
  <c r="H14" i="57"/>
  <c r="G10" i="57"/>
  <c r="G14" i="57"/>
  <c r="F10" i="57"/>
  <c r="F14" i="57"/>
  <c r="E10" i="57"/>
  <c r="E14" i="57"/>
  <c r="D10" i="57"/>
  <c r="D14" i="57"/>
  <c r="C10" i="57"/>
  <c r="C14" i="57"/>
  <c r="I41" i="56"/>
  <c r="H41" i="56"/>
  <c r="G41" i="56"/>
  <c r="F41" i="56"/>
  <c r="E41" i="56"/>
  <c r="D41" i="56"/>
  <c r="C41" i="56"/>
  <c r="F22" i="56"/>
  <c r="F23" i="56"/>
  <c r="I22" i="56"/>
  <c r="H22" i="56"/>
  <c r="H23" i="56"/>
  <c r="G22" i="56"/>
  <c r="G23" i="56"/>
  <c r="E22" i="56"/>
  <c r="E23" i="56"/>
  <c r="D22" i="56"/>
  <c r="D23" i="56"/>
  <c r="C22" i="56"/>
  <c r="C23" i="56"/>
  <c r="C25" i="56"/>
  <c r="C10" i="56"/>
  <c r="C14" i="56"/>
  <c r="C27" i="56"/>
  <c r="C31" i="56"/>
  <c r="E10" i="56"/>
  <c r="E14" i="56"/>
  <c r="D10" i="56"/>
  <c r="D14" i="56"/>
  <c r="I10" i="56"/>
  <c r="I14" i="56"/>
  <c r="H10" i="56"/>
  <c r="H14" i="56"/>
  <c r="G10" i="56"/>
  <c r="G14" i="56"/>
  <c r="F10" i="56"/>
  <c r="F14" i="56"/>
  <c r="I10" i="55"/>
  <c r="I14" i="55"/>
  <c r="H10" i="55"/>
  <c r="H14" i="55"/>
  <c r="G10" i="55"/>
  <c r="G14" i="55"/>
  <c r="F10" i="55"/>
  <c r="E10" i="55"/>
  <c r="D10" i="55"/>
  <c r="C10" i="55"/>
  <c r="C14" i="55"/>
  <c r="J10" i="54"/>
  <c r="J14" i="54"/>
  <c r="I10" i="54"/>
  <c r="H10" i="54"/>
  <c r="G10" i="54"/>
  <c r="F10" i="54"/>
  <c r="F14" i="54"/>
  <c r="E10" i="54"/>
  <c r="E14" i="54"/>
  <c r="D10" i="54"/>
  <c r="C10" i="54"/>
  <c r="C14" i="54"/>
  <c r="J10" i="53"/>
  <c r="J14" i="53"/>
  <c r="I10" i="53"/>
  <c r="H10" i="53"/>
  <c r="G10" i="53"/>
  <c r="F10" i="53"/>
  <c r="F14" i="53"/>
  <c r="E10" i="53"/>
  <c r="E14" i="53"/>
  <c r="D10" i="53"/>
  <c r="C10" i="53"/>
  <c r="C14" i="53"/>
  <c r="I41" i="55"/>
  <c r="H41" i="55"/>
  <c r="G41" i="55"/>
  <c r="F41" i="55"/>
  <c r="E41" i="55"/>
  <c r="D41" i="55"/>
  <c r="C41" i="55"/>
  <c r="I22" i="55"/>
  <c r="H22" i="55"/>
  <c r="G22" i="55"/>
  <c r="F22" i="55"/>
  <c r="E22" i="55"/>
  <c r="D22" i="55"/>
  <c r="C22" i="55"/>
  <c r="F14" i="55"/>
  <c r="E14" i="55"/>
  <c r="D14" i="55"/>
  <c r="J41" i="54"/>
  <c r="I41" i="54"/>
  <c r="H41" i="54"/>
  <c r="G41" i="54"/>
  <c r="F41" i="54"/>
  <c r="E41" i="54"/>
  <c r="D41" i="54"/>
  <c r="C41" i="54"/>
  <c r="E22" i="54"/>
  <c r="E23" i="54"/>
  <c r="J22" i="54"/>
  <c r="I22" i="54"/>
  <c r="H22" i="54"/>
  <c r="G22" i="54"/>
  <c r="F22" i="54"/>
  <c r="D22" i="54"/>
  <c r="D23" i="54"/>
  <c r="C22" i="54"/>
  <c r="I14" i="54"/>
  <c r="H14" i="54"/>
  <c r="G14" i="54"/>
  <c r="D14" i="54"/>
  <c r="J10" i="52"/>
  <c r="J14" i="52"/>
  <c r="I10" i="52"/>
  <c r="H10" i="52"/>
  <c r="H14" i="52"/>
  <c r="G10" i="52"/>
  <c r="F10" i="52"/>
  <c r="E10" i="52"/>
  <c r="D10" i="52"/>
  <c r="C10" i="52"/>
  <c r="C14" i="52"/>
  <c r="J41" i="53"/>
  <c r="I41" i="53"/>
  <c r="H41" i="53"/>
  <c r="G41" i="53"/>
  <c r="F41" i="53"/>
  <c r="E41" i="53"/>
  <c r="D41" i="53"/>
  <c r="C41" i="53"/>
  <c r="J22" i="53"/>
  <c r="I22" i="53"/>
  <c r="H22" i="53"/>
  <c r="G22" i="53"/>
  <c r="F22" i="53"/>
  <c r="E22" i="53"/>
  <c r="D22" i="53"/>
  <c r="C22" i="53"/>
  <c r="I14" i="53"/>
  <c r="H14" i="53"/>
  <c r="G14" i="53"/>
  <c r="D14" i="53"/>
  <c r="J41" i="52"/>
  <c r="I41" i="52"/>
  <c r="H41" i="52"/>
  <c r="G41" i="52"/>
  <c r="F41" i="52"/>
  <c r="E41" i="52"/>
  <c r="D41" i="52"/>
  <c r="C41" i="52"/>
  <c r="J22" i="52"/>
  <c r="J23" i="52"/>
  <c r="J25" i="52"/>
  <c r="I22" i="52"/>
  <c r="I23" i="52"/>
  <c r="I25" i="52"/>
  <c r="I14" i="52"/>
  <c r="I27" i="52"/>
  <c r="I31" i="52"/>
  <c r="H22" i="52"/>
  <c r="H23" i="52"/>
  <c r="H25" i="52"/>
  <c r="G22" i="52"/>
  <c r="G23" i="52"/>
  <c r="F22" i="52"/>
  <c r="F23" i="52"/>
  <c r="E22" i="52"/>
  <c r="E23" i="52"/>
  <c r="E25" i="52"/>
  <c r="D22" i="52"/>
  <c r="D23" i="52"/>
  <c r="G14" i="52"/>
  <c r="C22" i="52"/>
  <c r="F14" i="52"/>
  <c r="E14" i="52"/>
  <c r="D14" i="52"/>
  <c r="F10" i="51"/>
  <c r="F14" i="51"/>
  <c r="C26" i="51"/>
  <c r="C27" i="51"/>
  <c r="C27" i="50"/>
  <c r="C28" i="50"/>
  <c r="F10" i="50"/>
  <c r="F14" i="50"/>
  <c r="F16" i="50"/>
  <c r="E10" i="50"/>
  <c r="D10" i="50"/>
  <c r="D14" i="50"/>
  <c r="D16" i="50"/>
  <c r="C10" i="50"/>
  <c r="C14" i="50"/>
  <c r="C16" i="50"/>
  <c r="G15" i="50"/>
  <c r="E14" i="50"/>
  <c r="E16" i="50"/>
  <c r="C25" i="49"/>
  <c r="C26" i="49"/>
  <c r="C28" i="49"/>
  <c r="C18" i="49"/>
  <c r="C30" i="49"/>
  <c r="C38" i="49"/>
  <c r="C39" i="49"/>
  <c r="C41" i="49"/>
  <c r="C42" i="49"/>
  <c r="C44" i="49"/>
  <c r="C46" i="49"/>
  <c r="C10" i="49"/>
  <c r="C14" i="49"/>
  <c r="C16" i="49"/>
  <c r="D10" i="49"/>
  <c r="D14" i="49"/>
  <c r="D16" i="49"/>
  <c r="E10" i="49"/>
  <c r="E14" i="49"/>
  <c r="E16" i="49"/>
  <c r="F10" i="49"/>
  <c r="F14" i="49"/>
  <c r="F16" i="49"/>
  <c r="G16" i="49"/>
  <c r="G15" i="49"/>
  <c r="G14" i="49"/>
  <c r="J46" i="48"/>
  <c r="I46" i="48"/>
  <c r="H46" i="48"/>
  <c r="G46" i="48"/>
  <c r="F46" i="48"/>
  <c r="E46" i="48"/>
  <c r="D46" i="48"/>
  <c r="C46" i="48"/>
  <c r="J22" i="48"/>
  <c r="J23" i="48"/>
  <c r="I22" i="48"/>
  <c r="I23" i="48"/>
  <c r="H22" i="48"/>
  <c r="G22" i="48"/>
  <c r="F22" i="48"/>
  <c r="E22" i="48"/>
  <c r="D22" i="48"/>
  <c r="C22" i="48"/>
  <c r="J10" i="48"/>
  <c r="J14" i="48"/>
  <c r="I10" i="48"/>
  <c r="I14" i="48"/>
  <c r="H10" i="48"/>
  <c r="H14" i="48"/>
  <c r="G10" i="48"/>
  <c r="G14" i="48"/>
  <c r="F10" i="48"/>
  <c r="F14" i="48"/>
  <c r="E10" i="48"/>
  <c r="E14" i="48"/>
  <c r="D10" i="48"/>
  <c r="D14" i="48"/>
  <c r="C10" i="48"/>
  <c r="C14" i="48"/>
  <c r="J46" i="47"/>
  <c r="I46" i="47"/>
  <c r="H46" i="47"/>
  <c r="G46" i="47"/>
  <c r="F46" i="47"/>
  <c r="E46" i="47"/>
  <c r="D46" i="47"/>
  <c r="C46" i="47"/>
  <c r="J22" i="47"/>
  <c r="I22" i="47"/>
  <c r="H22" i="47"/>
  <c r="G22" i="47"/>
  <c r="F22" i="47"/>
  <c r="E22" i="47"/>
  <c r="E23" i="47"/>
  <c r="D22" i="47"/>
  <c r="D23" i="47"/>
  <c r="C22" i="47"/>
  <c r="J10" i="47"/>
  <c r="J14" i="47"/>
  <c r="I10" i="47"/>
  <c r="I14" i="47"/>
  <c r="H10" i="47"/>
  <c r="H14" i="47"/>
  <c r="G10" i="47"/>
  <c r="G14" i="47"/>
  <c r="F10" i="47"/>
  <c r="F14" i="47"/>
  <c r="E10" i="47"/>
  <c r="E14" i="47"/>
  <c r="D10" i="47"/>
  <c r="D14" i="47"/>
  <c r="C10" i="47"/>
  <c r="C14" i="47"/>
  <c r="J46" i="46"/>
  <c r="I46" i="46"/>
  <c r="H46" i="46"/>
  <c r="G46" i="46"/>
  <c r="F46" i="46"/>
  <c r="E46" i="46"/>
  <c r="D46" i="46"/>
  <c r="C46" i="46"/>
  <c r="G22" i="46"/>
  <c r="G23" i="46"/>
  <c r="J22" i="46"/>
  <c r="I22" i="46"/>
  <c r="H22" i="46"/>
  <c r="G25" i="46"/>
  <c r="F22" i="46"/>
  <c r="E22" i="46"/>
  <c r="D22" i="46"/>
  <c r="C22" i="46"/>
  <c r="J10" i="46"/>
  <c r="J14" i="46"/>
  <c r="I10" i="46"/>
  <c r="I14" i="46"/>
  <c r="H10" i="46"/>
  <c r="H14" i="46"/>
  <c r="G10" i="46"/>
  <c r="G14" i="46"/>
  <c r="F10" i="46"/>
  <c r="F14" i="46"/>
  <c r="E10" i="46"/>
  <c r="E14" i="46"/>
  <c r="D10" i="46"/>
  <c r="D14" i="46"/>
  <c r="C10" i="46"/>
  <c r="C14" i="46"/>
  <c r="J46" i="45"/>
  <c r="I46" i="45"/>
  <c r="H46" i="45"/>
  <c r="G46" i="45"/>
  <c r="F46" i="45"/>
  <c r="E46" i="45"/>
  <c r="D46" i="45"/>
  <c r="C46" i="45"/>
  <c r="J22" i="45"/>
  <c r="I22" i="45"/>
  <c r="I23" i="45"/>
  <c r="H22" i="45"/>
  <c r="H23" i="45"/>
  <c r="H25" i="45"/>
  <c r="G22" i="45"/>
  <c r="F22" i="45"/>
  <c r="E22" i="45"/>
  <c r="D22" i="45"/>
  <c r="C22" i="45"/>
  <c r="C23" i="45"/>
  <c r="J10" i="45"/>
  <c r="J14" i="45"/>
  <c r="I10" i="45"/>
  <c r="I14" i="45"/>
  <c r="H10" i="45"/>
  <c r="H14" i="45"/>
  <c r="G10" i="45"/>
  <c r="G14" i="45"/>
  <c r="F10" i="45"/>
  <c r="F14" i="45"/>
  <c r="E10" i="45"/>
  <c r="E14" i="45"/>
  <c r="D10" i="45"/>
  <c r="D14" i="45"/>
  <c r="C10" i="45"/>
  <c r="C14" i="45"/>
  <c r="J46" i="44"/>
  <c r="I46" i="44"/>
  <c r="H46" i="44"/>
  <c r="G46" i="44"/>
  <c r="F46" i="44"/>
  <c r="E46" i="44"/>
  <c r="D46" i="44"/>
  <c r="C46" i="44"/>
  <c r="J22" i="44"/>
  <c r="J23" i="44"/>
  <c r="I22" i="44"/>
  <c r="H22" i="44"/>
  <c r="G22" i="44"/>
  <c r="F22" i="44"/>
  <c r="E22" i="44"/>
  <c r="D22" i="44"/>
  <c r="C22" i="44"/>
  <c r="J10" i="44"/>
  <c r="J14" i="44"/>
  <c r="I10" i="44"/>
  <c r="I14" i="44"/>
  <c r="H10" i="44"/>
  <c r="H14" i="44"/>
  <c r="G10" i="44"/>
  <c r="G14" i="44"/>
  <c r="F10" i="44"/>
  <c r="F14" i="44"/>
  <c r="E10" i="44"/>
  <c r="E14" i="44"/>
  <c r="D10" i="44"/>
  <c r="D14" i="44"/>
  <c r="C10" i="44"/>
  <c r="C14" i="44"/>
  <c r="J10" i="43"/>
  <c r="I10" i="43"/>
  <c r="H10" i="43"/>
  <c r="H14" i="43"/>
  <c r="G10" i="43"/>
  <c r="F10" i="43"/>
  <c r="E10" i="43"/>
  <c r="D10" i="43"/>
  <c r="D14" i="43"/>
  <c r="C10" i="43"/>
  <c r="C14" i="43"/>
  <c r="J46" i="43"/>
  <c r="I46" i="43"/>
  <c r="H46" i="43"/>
  <c r="G46" i="43"/>
  <c r="F46" i="43"/>
  <c r="E46" i="43"/>
  <c r="D46" i="43"/>
  <c r="C46" i="43"/>
  <c r="F22" i="43"/>
  <c r="F23" i="43"/>
  <c r="J22" i="43"/>
  <c r="I22" i="43"/>
  <c r="H22" i="43"/>
  <c r="G22" i="43"/>
  <c r="E22" i="43"/>
  <c r="D22" i="43"/>
  <c r="C22" i="43"/>
  <c r="J14" i="43"/>
  <c r="I14" i="43"/>
  <c r="G14" i="43"/>
  <c r="F14" i="43"/>
  <c r="E14" i="43"/>
  <c r="J46" i="42"/>
  <c r="I46" i="42"/>
  <c r="H46" i="42"/>
  <c r="G46" i="42"/>
  <c r="F46" i="42"/>
  <c r="E46" i="42"/>
  <c r="D46" i="42"/>
  <c r="C46" i="42"/>
  <c r="J22" i="42"/>
  <c r="J23" i="42"/>
  <c r="I22" i="42"/>
  <c r="I23" i="42"/>
  <c r="H22" i="42"/>
  <c r="G22" i="42"/>
  <c r="F22" i="42"/>
  <c r="F23" i="42"/>
  <c r="E22" i="42"/>
  <c r="E23" i="42"/>
  <c r="D22" i="42"/>
  <c r="C22" i="42"/>
  <c r="J10" i="42"/>
  <c r="J14" i="42"/>
  <c r="I10" i="42"/>
  <c r="I14" i="42"/>
  <c r="H10" i="42"/>
  <c r="H14" i="42"/>
  <c r="G10" i="42"/>
  <c r="G14" i="42"/>
  <c r="F10" i="42"/>
  <c r="F14" i="42"/>
  <c r="E10" i="42"/>
  <c r="E14" i="42"/>
  <c r="D10" i="42"/>
  <c r="D14" i="42"/>
  <c r="C10" i="42"/>
  <c r="C14" i="42"/>
  <c r="J22" i="32"/>
  <c r="J23" i="32"/>
  <c r="J25" i="32"/>
  <c r="J10" i="32"/>
  <c r="J14" i="32"/>
  <c r="J27" i="32"/>
  <c r="J35" i="32"/>
  <c r="J36" i="32"/>
  <c r="J38" i="32"/>
  <c r="J39" i="32"/>
  <c r="I22" i="32"/>
  <c r="I23" i="32"/>
  <c r="I25" i="32"/>
  <c r="I10" i="32"/>
  <c r="I14" i="32"/>
  <c r="I27" i="32"/>
  <c r="I35" i="32"/>
  <c r="I36" i="32"/>
  <c r="I38" i="32"/>
  <c r="I39" i="32"/>
  <c r="H22" i="32"/>
  <c r="H23" i="32"/>
  <c r="H25" i="32"/>
  <c r="H10" i="32"/>
  <c r="H14" i="32"/>
  <c r="H27" i="32"/>
  <c r="H35" i="32"/>
  <c r="H36" i="32"/>
  <c r="H38" i="32"/>
  <c r="H39" i="32"/>
  <c r="G22" i="32"/>
  <c r="G23" i="32"/>
  <c r="G25" i="32"/>
  <c r="G10" i="32"/>
  <c r="G14" i="32"/>
  <c r="G27" i="32"/>
  <c r="G35" i="32"/>
  <c r="G36" i="32"/>
  <c r="G38" i="32"/>
  <c r="G39" i="32"/>
  <c r="F22" i="32"/>
  <c r="F23" i="32"/>
  <c r="F25" i="32"/>
  <c r="F10" i="32"/>
  <c r="F14" i="32"/>
  <c r="F27" i="32"/>
  <c r="F35" i="32"/>
  <c r="F36" i="32"/>
  <c r="F38" i="32"/>
  <c r="F39" i="32"/>
  <c r="E22" i="32"/>
  <c r="E23" i="32"/>
  <c r="E25" i="32"/>
  <c r="E10" i="32"/>
  <c r="E14" i="32"/>
  <c r="E27" i="32"/>
  <c r="E35" i="32"/>
  <c r="E36" i="32"/>
  <c r="E38" i="32"/>
  <c r="E39" i="32"/>
  <c r="D22" i="32"/>
  <c r="D23" i="32"/>
  <c r="D25" i="32"/>
  <c r="D10" i="32"/>
  <c r="D14" i="32"/>
  <c r="D27" i="32"/>
  <c r="D35" i="32"/>
  <c r="D36" i="32"/>
  <c r="D38" i="32"/>
  <c r="D39" i="32"/>
  <c r="C22" i="32"/>
  <c r="C23" i="32"/>
  <c r="C25" i="32"/>
  <c r="C10" i="32"/>
  <c r="C14" i="32"/>
  <c r="C27" i="32"/>
  <c r="C35" i="32"/>
  <c r="C36" i="32"/>
  <c r="C38" i="32"/>
  <c r="C39" i="32"/>
  <c r="J46" i="32"/>
  <c r="I46" i="32"/>
  <c r="H46" i="32"/>
  <c r="G46" i="32"/>
  <c r="F46" i="32"/>
  <c r="E46" i="32"/>
  <c r="D46" i="32"/>
  <c r="C46" i="32"/>
  <c r="W41" i="65"/>
  <c r="W43" i="65"/>
  <c r="U41" i="65"/>
  <c r="U43" i="65"/>
  <c r="S41" i="65"/>
  <c r="S43" i="65"/>
  <c r="Q41" i="65"/>
  <c r="Q43" i="65"/>
  <c r="O36" i="65"/>
  <c r="O40" i="65"/>
  <c r="O41" i="65"/>
  <c r="O43" i="65"/>
  <c r="M41" i="65"/>
  <c r="M43" i="65"/>
  <c r="K41" i="65"/>
  <c r="K43" i="65"/>
  <c r="I41" i="65"/>
  <c r="I43" i="65"/>
  <c r="G41" i="65"/>
  <c r="G43" i="65"/>
  <c r="E41" i="65"/>
  <c r="E43" i="65"/>
  <c r="C41" i="65"/>
  <c r="C43" i="65"/>
  <c r="H30" i="63"/>
  <c r="H34" i="63"/>
  <c r="H35" i="63"/>
  <c r="H37" i="63"/>
  <c r="J30" i="63"/>
  <c r="J34" i="63"/>
  <c r="J35" i="63"/>
  <c r="J37" i="63"/>
  <c r="I30" i="63"/>
  <c r="I34" i="63"/>
  <c r="I35" i="63"/>
  <c r="I37" i="63"/>
  <c r="G30" i="63"/>
  <c r="G34" i="63"/>
  <c r="C30" i="63"/>
  <c r="C34" i="63"/>
  <c r="C35" i="63"/>
  <c r="C37" i="63"/>
  <c r="E35" i="63"/>
  <c r="E37" i="63"/>
  <c r="G35" i="63"/>
  <c r="G37" i="63"/>
  <c r="D30" i="63"/>
  <c r="D34" i="63"/>
  <c r="F28" i="63"/>
  <c r="F30" i="63"/>
  <c r="F34" i="63"/>
  <c r="D30" i="62"/>
  <c r="D34" i="62"/>
  <c r="D35" i="62"/>
  <c r="C30" i="62"/>
  <c r="C34" i="62"/>
  <c r="E35" i="62"/>
  <c r="E37" i="62"/>
  <c r="C28" i="61"/>
  <c r="C30" i="61"/>
  <c r="C34" i="61"/>
  <c r="C35" i="61"/>
  <c r="C37" i="61"/>
  <c r="D30" i="61"/>
  <c r="D34" i="61"/>
  <c r="D35" i="61"/>
  <c r="D37" i="61"/>
  <c r="G30" i="61"/>
  <c r="G34" i="61"/>
  <c r="G35" i="61"/>
  <c r="E28" i="61"/>
  <c r="E30" i="61"/>
  <c r="E34" i="61"/>
  <c r="F28" i="61"/>
  <c r="F30" i="61"/>
  <c r="F34" i="61"/>
  <c r="G26" i="60"/>
  <c r="G28" i="60"/>
  <c r="G30" i="60"/>
  <c r="G34" i="60"/>
  <c r="C26" i="60"/>
  <c r="C28" i="60"/>
  <c r="C30" i="60"/>
  <c r="C34" i="60"/>
  <c r="E28" i="60"/>
  <c r="E30" i="60"/>
  <c r="E34" i="60"/>
  <c r="D26" i="60"/>
  <c r="D28" i="60"/>
  <c r="D30" i="60"/>
  <c r="D34" i="60"/>
  <c r="F26" i="60"/>
  <c r="F28" i="60"/>
  <c r="F30" i="60"/>
  <c r="F34" i="60"/>
  <c r="H26" i="60"/>
  <c r="H28" i="60"/>
  <c r="H30" i="60"/>
  <c r="H34" i="60"/>
  <c r="I26" i="60"/>
  <c r="I28" i="60"/>
  <c r="I30" i="60"/>
  <c r="I34" i="60"/>
  <c r="J26" i="59"/>
  <c r="J28" i="59"/>
  <c r="J30" i="59"/>
  <c r="J34" i="59"/>
  <c r="I28" i="59"/>
  <c r="G30" i="59"/>
  <c r="G34" i="59"/>
  <c r="G35" i="59"/>
  <c r="C30" i="59"/>
  <c r="C34" i="59"/>
  <c r="C35" i="59"/>
  <c r="C37" i="59"/>
  <c r="I30" i="59"/>
  <c r="I34" i="59"/>
  <c r="F30" i="59"/>
  <c r="F34" i="59"/>
  <c r="H26" i="59"/>
  <c r="H28" i="59"/>
  <c r="H30" i="59"/>
  <c r="H34" i="59"/>
  <c r="D28" i="59"/>
  <c r="D30" i="59"/>
  <c r="D34" i="59"/>
  <c r="E28" i="59"/>
  <c r="E30" i="59"/>
  <c r="E34" i="59"/>
  <c r="C26" i="58"/>
  <c r="C28" i="58"/>
  <c r="C32" i="58"/>
  <c r="D24" i="58"/>
  <c r="D26" i="58"/>
  <c r="D28" i="58"/>
  <c r="D32" i="58"/>
  <c r="I24" i="58"/>
  <c r="I26" i="58"/>
  <c r="I28" i="58"/>
  <c r="I32" i="58"/>
  <c r="E24" i="58"/>
  <c r="E26" i="58"/>
  <c r="E28" i="58"/>
  <c r="E32" i="58"/>
  <c r="H26" i="58"/>
  <c r="H28" i="58"/>
  <c r="H32" i="58"/>
  <c r="F24" i="58"/>
  <c r="F26" i="58"/>
  <c r="F28" i="58"/>
  <c r="F32" i="58"/>
  <c r="G24" i="58"/>
  <c r="G26" i="58"/>
  <c r="G28" i="58"/>
  <c r="G32" i="58"/>
  <c r="H24" i="57"/>
  <c r="H26" i="57"/>
  <c r="H28" i="57"/>
  <c r="H32" i="57"/>
  <c r="H33" i="57"/>
  <c r="H35" i="57"/>
  <c r="I23" i="56"/>
  <c r="I25" i="56"/>
  <c r="I27" i="56"/>
  <c r="I31" i="56"/>
  <c r="G25" i="56"/>
  <c r="G27" i="56"/>
  <c r="G31" i="56"/>
  <c r="G32" i="56"/>
  <c r="G34" i="56"/>
  <c r="F25" i="56"/>
  <c r="E25" i="54"/>
  <c r="E27" i="54"/>
  <c r="E31" i="54"/>
  <c r="E32" i="54"/>
  <c r="E34" i="54"/>
  <c r="D25" i="52"/>
  <c r="G25" i="52"/>
  <c r="G27" i="52"/>
  <c r="G31" i="52"/>
  <c r="G32" i="52"/>
  <c r="G34" i="52"/>
  <c r="F26" i="57"/>
  <c r="F28" i="57"/>
  <c r="F32" i="57"/>
  <c r="F33" i="57"/>
  <c r="F35" i="57"/>
  <c r="C26" i="57"/>
  <c r="C28" i="57"/>
  <c r="C32" i="57"/>
  <c r="J28" i="57"/>
  <c r="J32" i="57"/>
  <c r="J33" i="57"/>
  <c r="J35" i="57"/>
  <c r="G28" i="57"/>
  <c r="G32" i="57"/>
  <c r="G33" i="57"/>
  <c r="G35" i="57"/>
  <c r="D28" i="57"/>
  <c r="D32" i="57"/>
  <c r="D33" i="57"/>
  <c r="D35" i="57"/>
  <c r="I26" i="57"/>
  <c r="I28" i="57"/>
  <c r="I32" i="57"/>
  <c r="E26" i="57"/>
  <c r="E28" i="57"/>
  <c r="E32" i="57"/>
  <c r="F27" i="56"/>
  <c r="F31" i="56"/>
  <c r="C32" i="56"/>
  <c r="C34" i="56"/>
  <c r="H25" i="56"/>
  <c r="H27" i="56"/>
  <c r="H31" i="56"/>
  <c r="D25" i="56"/>
  <c r="D27" i="56"/>
  <c r="D31" i="56"/>
  <c r="E25" i="56"/>
  <c r="E27" i="56"/>
  <c r="E31" i="56"/>
  <c r="F23" i="55"/>
  <c r="F25" i="55"/>
  <c r="F27" i="55"/>
  <c r="F31" i="55"/>
  <c r="H23" i="55"/>
  <c r="H25" i="55"/>
  <c r="H27" i="55"/>
  <c r="H31" i="55"/>
  <c r="C23" i="55"/>
  <c r="C25" i="55"/>
  <c r="C27" i="55"/>
  <c r="C31" i="55"/>
  <c r="D23" i="55"/>
  <c r="D25" i="55"/>
  <c r="D27" i="55"/>
  <c r="D31" i="55"/>
  <c r="E23" i="55"/>
  <c r="E25" i="55"/>
  <c r="E27" i="55"/>
  <c r="E31" i="55"/>
  <c r="G23" i="55"/>
  <c r="G25" i="55"/>
  <c r="G27" i="55"/>
  <c r="G31" i="55"/>
  <c r="I23" i="55"/>
  <c r="I25" i="55"/>
  <c r="I27" i="55"/>
  <c r="I31" i="55"/>
  <c r="F23" i="54"/>
  <c r="F25" i="54"/>
  <c r="F27" i="54"/>
  <c r="F31" i="54"/>
  <c r="C23" i="54"/>
  <c r="C25" i="54"/>
  <c r="C27" i="54"/>
  <c r="C31" i="54"/>
  <c r="D25" i="54"/>
  <c r="D27" i="54"/>
  <c r="D31" i="54"/>
  <c r="G23" i="54"/>
  <c r="G25" i="54"/>
  <c r="G27" i="54"/>
  <c r="G31" i="54"/>
  <c r="H23" i="54"/>
  <c r="H25" i="54"/>
  <c r="H27" i="54"/>
  <c r="H31" i="54"/>
  <c r="I23" i="54"/>
  <c r="I25" i="54"/>
  <c r="I27" i="54"/>
  <c r="I31" i="54"/>
  <c r="J23" i="54"/>
  <c r="J25" i="54"/>
  <c r="J27" i="54"/>
  <c r="J31" i="54"/>
  <c r="E27" i="52"/>
  <c r="E31" i="52"/>
  <c r="E32" i="52"/>
  <c r="E34" i="52"/>
  <c r="H27" i="52"/>
  <c r="H31" i="52"/>
  <c r="J27" i="52"/>
  <c r="J31" i="52"/>
  <c r="J32" i="52"/>
  <c r="D27" i="52"/>
  <c r="D31" i="52"/>
  <c r="F23" i="53"/>
  <c r="F25" i="53"/>
  <c r="F27" i="53"/>
  <c r="F31" i="53"/>
  <c r="H23" i="53"/>
  <c r="H25" i="53"/>
  <c r="H27" i="53"/>
  <c r="H31" i="53"/>
  <c r="J23" i="53"/>
  <c r="J25" i="53"/>
  <c r="J27" i="53"/>
  <c r="J31" i="53"/>
  <c r="C23" i="53"/>
  <c r="C25" i="53"/>
  <c r="C27" i="53"/>
  <c r="C31" i="53"/>
  <c r="D23" i="53"/>
  <c r="D25" i="53"/>
  <c r="D27" i="53"/>
  <c r="D31" i="53"/>
  <c r="E23" i="53"/>
  <c r="E25" i="53"/>
  <c r="E27" i="53"/>
  <c r="E31" i="53"/>
  <c r="G23" i="53"/>
  <c r="G25" i="53"/>
  <c r="G27" i="53"/>
  <c r="G31" i="53"/>
  <c r="I23" i="53"/>
  <c r="I25" i="53"/>
  <c r="I27" i="53"/>
  <c r="I31" i="53"/>
  <c r="I32" i="52"/>
  <c r="I34" i="52"/>
  <c r="F25" i="52"/>
  <c r="F27" i="52"/>
  <c r="F31" i="52"/>
  <c r="C23" i="52"/>
  <c r="C25" i="52"/>
  <c r="G14" i="51"/>
  <c r="C29" i="51"/>
  <c r="C31" i="51"/>
  <c r="C39" i="51"/>
  <c r="C30" i="50"/>
  <c r="C32" i="50"/>
  <c r="C40" i="50"/>
  <c r="C41" i="50"/>
  <c r="C43" i="50"/>
  <c r="G16" i="50"/>
  <c r="G14" i="50"/>
  <c r="F23" i="48"/>
  <c r="F25" i="48"/>
  <c r="F27" i="48"/>
  <c r="F35" i="48"/>
  <c r="G23" i="48"/>
  <c r="G25" i="48"/>
  <c r="G27" i="48"/>
  <c r="G35" i="48"/>
  <c r="I25" i="48"/>
  <c r="I27" i="48"/>
  <c r="I35" i="48"/>
  <c r="J25" i="48"/>
  <c r="J27" i="48"/>
  <c r="J35" i="48"/>
  <c r="C23" i="48"/>
  <c r="C25" i="48"/>
  <c r="C27" i="48"/>
  <c r="C35" i="48"/>
  <c r="D23" i="48"/>
  <c r="D25" i="48"/>
  <c r="D27" i="48"/>
  <c r="D35" i="48"/>
  <c r="E23" i="48"/>
  <c r="E25" i="48"/>
  <c r="E27" i="48"/>
  <c r="E35" i="48"/>
  <c r="H23" i="48"/>
  <c r="H25" i="48"/>
  <c r="H27" i="48"/>
  <c r="H35" i="48"/>
  <c r="G27" i="46"/>
  <c r="G35" i="46"/>
  <c r="G36" i="46"/>
  <c r="G38" i="46"/>
  <c r="J23" i="47"/>
  <c r="J25" i="47"/>
  <c r="J27" i="47"/>
  <c r="J35" i="47"/>
  <c r="C23" i="47"/>
  <c r="C25" i="47"/>
  <c r="C27" i="47"/>
  <c r="C35" i="47"/>
  <c r="D25" i="47"/>
  <c r="D27" i="47"/>
  <c r="D35" i="47"/>
  <c r="E25" i="47"/>
  <c r="E27" i="47"/>
  <c r="E35" i="47"/>
  <c r="F23" i="47"/>
  <c r="F25" i="47"/>
  <c r="F27" i="47"/>
  <c r="F35" i="47"/>
  <c r="G23" i="47"/>
  <c r="G25" i="47"/>
  <c r="G27" i="47"/>
  <c r="G35" i="47"/>
  <c r="H23" i="47"/>
  <c r="H25" i="47"/>
  <c r="H27" i="47"/>
  <c r="H35" i="47"/>
  <c r="I23" i="47"/>
  <c r="I25" i="47"/>
  <c r="I27" i="47"/>
  <c r="I35" i="47"/>
  <c r="C23" i="46"/>
  <c r="C25" i="46"/>
  <c r="C27" i="46"/>
  <c r="C35" i="46"/>
  <c r="D23" i="46"/>
  <c r="D25" i="46"/>
  <c r="D27" i="46"/>
  <c r="D35" i="46"/>
  <c r="J23" i="46"/>
  <c r="J25" i="46"/>
  <c r="J27" i="46"/>
  <c r="J35" i="46"/>
  <c r="E23" i="46"/>
  <c r="E25" i="46"/>
  <c r="E27" i="46"/>
  <c r="E35" i="46"/>
  <c r="F23" i="46"/>
  <c r="F25" i="46"/>
  <c r="F27" i="46"/>
  <c r="F35" i="46"/>
  <c r="I23" i="46"/>
  <c r="I25" i="46"/>
  <c r="I27" i="46"/>
  <c r="I35" i="46"/>
  <c r="H23" i="46"/>
  <c r="H25" i="46"/>
  <c r="H27" i="46"/>
  <c r="H35" i="46"/>
  <c r="H27" i="45"/>
  <c r="H35" i="45"/>
  <c r="H36" i="45"/>
  <c r="H38" i="45"/>
  <c r="D23" i="45"/>
  <c r="D25" i="45"/>
  <c r="D27" i="45"/>
  <c r="D35" i="45"/>
  <c r="J23" i="45"/>
  <c r="J25" i="45"/>
  <c r="J27" i="45"/>
  <c r="J35" i="45"/>
  <c r="C25" i="45"/>
  <c r="C27" i="45"/>
  <c r="C35" i="45"/>
  <c r="I25" i="45"/>
  <c r="I27" i="45"/>
  <c r="I35" i="45"/>
  <c r="E23" i="45"/>
  <c r="E25" i="45"/>
  <c r="E27" i="45"/>
  <c r="E35" i="45"/>
  <c r="F23" i="45"/>
  <c r="F25" i="45"/>
  <c r="F27" i="45"/>
  <c r="F35" i="45"/>
  <c r="G23" i="45"/>
  <c r="G25" i="45"/>
  <c r="G27" i="45"/>
  <c r="G35" i="45"/>
  <c r="E23" i="44"/>
  <c r="E25" i="44"/>
  <c r="E27" i="44"/>
  <c r="E35" i="44"/>
  <c r="D23" i="44"/>
  <c r="D25" i="44"/>
  <c r="D27" i="44"/>
  <c r="D35" i="44"/>
  <c r="I23" i="44"/>
  <c r="I25" i="44"/>
  <c r="I27" i="44"/>
  <c r="I35" i="44"/>
  <c r="J25" i="44"/>
  <c r="J27" i="44"/>
  <c r="J35" i="44"/>
  <c r="C23" i="44"/>
  <c r="C25" i="44"/>
  <c r="C27" i="44"/>
  <c r="C35" i="44"/>
  <c r="F23" i="44"/>
  <c r="F25" i="44"/>
  <c r="F27" i="44"/>
  <c r="F35" i="44"/>
  <c r="G23" i="44"/>
  <c r="G25" i="44"/>
  <c r="G27" i="44"/>
  <c r="G35" i="44"/>
  <c r="H23" i="44"/>
  <c r="H25" i="44"/>
  <c r="H27" i="44"/>
  <c r="H35" i="44"/>
  <c r="F25" i="43"/>
  <c r="F27" i="43"/>
  <c r="F35" i="43"/>
  <c r="G23" i="43"/>
  <c r="G25" i="43"/>
  <c r="G27" i="43"/>
  <c r="G35" i="43"/>
  <c r="J23" i="43"/>
  <c r="J25" i="43"/>
  <c r="J27" i="43"/>
  <c r="J35" i="43"/>
  <c r="D23" i="43"/>
  <c r="D25" i="43"/>
  <c r="D27" i="43"/>
  <c r="D35" i="43"/>
  <c r="E23" i="43"/>
  <c r="E25" i="43"/>
  <c r="E27" i="43"/>
  <c r="E35" i="43"/>
  <c r="C23" i="43"/>
  <c r="C25" i="43"/>
  <c r="C27" i="43"/>
  <c r="C35" i="43"/>
  <c r="H23" i="43"/>
  <c r="H25" i="43"/>
  <c r="H27" i="43"/>
  <c r="H35" i="43"/>
  <c r="I23" i="43"/>
  <c r="I25" i="43"/>
  <c r="I27" i="43"/>
  <c r="I35" i="43"/>
  <c r="C23" i="42"/>
  <c r="C25" i="42"/>
  <c r="C27" i="42"/>
  <c r="C35" i="42"/>
  <c r="J25" i="42"/>
  <c r="J27" i="42"/>
  <c r="J35" i="42"/>
  <c r="D23" i="42"/>
  <c r="D25" i="42"/>
  <c r="D27" i="42"/>
  <c r="D35" i="42"/>
  <c r="E25" i="42"/>
  <c r="E27" i="42"/>
  <c r="E35" i="42"/>
  <c r="F25" i="42"/>
  <c r="F27" i="42"/>
  <c r="F35" i="42"/>
  <c r="G23" i="42"/>
  <c r="G25" i="42"/>
  <c r="G27" i="42"/>
  <c r="G35" i="42"/>
  <c r="I25" i="42"/>
  <c r="I27" i="42"/>
  <c r="I35" i="42"/>
  <c r="H23" i="42"/>
  <c r="H25" i="42"/>
  <c r="H27" i="42"/>
  <c r="H35" i="42"/>
  <c r="W44" i="65"/>
  <c r="W46" i="65"/>
  <c r="W48" i="65"/>
  <c r="U44" i="65"/>
  <c r="U46" i="65"/>
  <c r="U48" i="65"/>
  <c r="S44" i="65"/>
  <c r="S46" i="65"/>
  <c r="S48" i="65"/>
  <c r="Q44" i="65"/>
  <c r="Q46" i="65"/>
  <c r="Q48" i="65"/>
  <c r="O44" i="65"/>
  <c r="O46" i="65"/>
  <c r="O48" i="65"/>
  <c r="M44" i="65"/>
  <c r="M46" i="65"/>
  <c r="M48" i="65"/>
  <c r="K44" i="65"/>
  <c r="K46" i="65"/>
  <c r="K48" i="65"/>
  <c r="I44" i="65"/>
  <c r="I46" i="65"/>
  <c r="I48" i="65"/>
  <c r="G44" i="65"/>
  <c r="G46" i="65"/>
  <c r="G48" i="65"/>
  <c r="E44" i="65"/>
  <c r="E46" i="65"/>
  <c r="E48" i="65"/>
  <c r="C44" i="65"/>
  <c r="C46" i="65"/>
  <c r="C48" i="65"/>
  <c r="C36" i="64"/>
  <c r="C37" i="64"/>
  <c r="C39" i="64"/>
  <c r="I38" i="63"/>
  <c r="I40" i="63"/>
  <c r="I42" i="63"/>
  <c r="I46" i="63"/>
  <c r="H38" i="63"/>
  <c r="H40" i="63"/>
  <c r="H42" i="63"/>
  <c r="H46" i="63"/>
  <c r="G38" i="63"/>
  <c r="G40" i="63"/>
  <c r="G42" i="63"/>
  <c r="G46" i="63"/>
  <c r="E38" i="63"/>
  <c r="E40" i="63"/>
  <c r="E42" i="63"/>
  <c r="E46" i="63"/>
  <c r="F35" i="63"/>
  <c r="F37" i="63"/>
  <c r="D35" i="63"/>
  <c r="D37" i="63"/>
  <c r="J38" i="63"/>
  <c r="J40" i="63"/>
  <c r="J42" i="63"/>
  <c r="J46" i="63"/>
  <c r="C38" i="63"/>
  <c r="C40" i="63"/>
  <c r="C42" i="63"/>
  <c r="C46" i="63"/>
  <c r="D37" i="62"/>
  <c r="D38" i="62"/>
  <c r="D40" i="62"/>
  <c r="D42" i="62"/>
  <c r="D46" i="62"/>
  <c r="E38" i="62"/>
  <c r="E40" i="62"/>
  <c r="E42" i="62"/>
  <c r="E46" i="62"/>
  <c r="C35" i="62"/>
  <c r="C37" i="62"/>
  <c r="G37" i="61"/>
  <c r="G38" i="61"/>
  <c r="D38" i="61"/>
  <c r="D40" i="61"/>
  <c r="D42" i="61"/>
  <c r="D46" i="61"/>
  <c r="C38" i="61"/>
  <c r="C40" i="61"/>
  <c r="C42" i="61"/>
  <c r="C46" i="61"/>
  <c r="F35" i="61"/>
  <c r="F37" i="61"/>
  <c r="E35" i="61"/>
  <c r="E37" i="61"/>
  <c r="F35" i="60"/>
  <c r="F37" i="60"/>
  <c r="I35" i="60"/>
  <c r="I37" i="60"/>
  <c r="D35" i="60"/>
  <c r="D37" i="60"/>
  <c r="C35" i="60"/>
  <c r="C37" i="60"/>
  <c r="H35" i="60"/>
  <c r="H37" i="60"/>
  <c r="E35" i="60"/>
  <c r="E37" i="60"/>
  <c r="G35" i="60"/>
  <c r="G37" i="60"/>
  <c r="J35" i="59"/>
  <c r="J37" i="59"/>
  <c r="G37" i="59"/>
  <c r="G38" i="59"/>
  <c r="G40" i="59"/>
  <c r="G42" i="59"/>
  <c r="G46" i="59"/>
  <c r="C38" i="59"/>
  <c r="C40" i="59"/>
  <c r="C42" i="59"/>
  <c r="C46" i="59"/>
  <c r="H35" i="59"/>
  <c r="H37" i="59"/>
  <c r="E35" i="59"/>
  <c r="E37" i="59"/>
  <c r="F35" i="59"/>
  <c r="F37" i="59"/>
  <c r="D35" i="59"/>
  <c r="D37" i="59"/>
  <c r="I35" i="59"/>
  <c r="I37" i="59"/>
  <c r="G33" i="58"/>
  <c r="G35" i="58"/>
  <c r="E33" i="58"/>
  <c r="E35" i="58"/>
  <c r="F33" i="58"/>
  <c r="F35" i="58"/>
  <c r="D33" i="58"/>
  <c r="D35" i="58"/>
  <c r="C33" i="58"/>
  <c r="C35" i="58"/>
  <c r="I33" i="58"/>
  <c r="I35" i="58"/>
  <c r="H33" i="58"/>
  <c r="H35" i="58"/>
  <c r="D32" i="52"/>
  <c r="D34" i="52"/>
  <c r="J36" i="57"/>
  <c r="J38" i="57"/>
  <c r="J40" i="57"/>
  <c r="J44" i="57"/>
  <c r="H36" i="57"/>
  <c r="H38" i="57"/>
  <c r="H40" i="57"/>
  <c r="H44" i="57"/>
  <c r="D36" i="57"/>
  <c r="D38" i="57"/>
  <c r="D40" i="57"/>
  <c r="D44" i="57"/>
  <c r="G36" i="57"/>
  <c r="G38" i="57"/>
  <c r="G40" i="57"/>
  <c r="G44" i="57"/>
  <c r="F36" i="57"/>
  <c r="F38" i="57"/>
  <c r="F40" i="57"/>
  <c r="F44" i="57"/>
  <c r="C33" i="57"/>
  <c r="C35" i="57"/>
  <c r="E33" i="57"/>
  <c r="E35" i="57"/>
  <c r="I33" i="57"/>
  <c r="I35" i="57"/>
  <c r="F32" i="56"/>
  <c r="F34" i="56"/>
  <c r="H32" i="56"/>
  <c r="H34" i="56"/>
  <c r="C35" i="56"/>
  <c r="C37" i="56"/>
  <c r="C39" i="56"/>
  <c r="C43" i="56"/>
  <c r="E32" i="56"/>
  <c r="E34" i="56"/>
  <c r="D32" i="56"/>
  <c r="D34" i="56"/>
  <c r="G35" i="56"/>
  <c r="G37" i="56"/>
  <c r="G39" i="56"/>
  <c r="G43" i="56"/>
  <c r="I32" i="56"/>
  <c r="I34" i="56"/>
  <c r="C32" i="55"/>
  <c r="C34" i="55"/>
  <c r="D32" i="55"/>
  <c r="D34" i="55"/>
  <c r="H32" i="55"/>
  <c r="H34" i="55"/>
  <c r="E32" i="55"/>
  <c r="E34" i="55"/>
  <c r="I32" i="55"/>
  <c r="I34" i="55"/>
  <c r="G32" i="55"/>
  <c r="G34" i="55"/>
  <c r="F32" i="55"/>
  <c r="F34" i="55"/>
  <c r="J32" i="54"/>
  <c r="J34" i="54"/>
  <c r="G32" i="54"/>
  <c r="G34" i="54"/>
  <c r="C32" i="54"/>
  <c r="C34" i="54"/>
  <c r="E35" i="54"/>
  <c r="E37" i="54"/>
  <c r="E39" i="54"/>
  <c r="E43" i="54"/>
  <c r="I32" i="54"/>
  <c r="I34" i="54"/>
  <c r="H32" i="54"/>
  <c r="H34" i="54"/>
  <c r="F32" i="54"/>
  <c r="F34" i="54"/>
  <c r="D32" i="54"/>
  <c r="D34" i="54"/>
  <c r="J34" i="52"/>
  <c r="H32" i="52"/>
  <c r="H34" i="52"/>
  <c r="H35" i="52"/>
  <c r="H37" i="52"/>
  <c r="H39" i="52"/>
  <c r="H43" i="52"/>
  <c r="D32" i="53"/>
  <c r="D34" i="53"/>
  <c r="G32" i="53"/>
  <c r="G34" i="53"/>
  <c r="E32" i="53"/>
  <c r="E34" i="53"/>
  <c r="C32" i="53"/>
  <c r="C34" i="53"/>
  <c r="I32" i="53"/>
  <c r="I34" i="53"/>
  <c r="F32" i="53"/>
  <c r="F34" i="53"/>
  <c r="J32" i="53"/>
  <c r="J34" i="53"/>
  <c r="H32" i="53"/>
  <c r="H34" i="53"/>
  <c r="G35" i="52"/>
  <c r="G37" i="52"/>
  <c r="G39" i="52"/>
  <c r="G43" i="52"/>
  <c r="I35" i="52"/>
  <c r="I37" i="52"/>
  <c r="I39" i="52"/>
  <c r="I43" i="52"/>
  <c r="E35" i="52"/>
  <c r="E37" i="52"/>
  <c r="E39" i="52"/>
  <c r="E43" i="52"/>
  <c r="F32" i="52"/>
  <c r="F34" i="52"/>
  <c r="C27" i="52"/>
  <c r="C40" i="51"/>
  <c r="C42" i="51"/>
  <c r="C44" i="50"/>
  <c r="C46" i="50"/>
  <c r="C48" i="50"/>
  <c r="D36" i="48"/>
  <c r="D38" i="48"/>
  <c r="H36" i="48"/>
  <c r="H38" i="48"/>
  <c r="E36" i="48"/>
  <c r="E38" i="48"/>
  <c r="C36" i="48"/>
  <c r="C38" i="48"/>
  <c r="G36" i="48"/>
  <c r="G38" i="48"/>
  <c r="F36" i="48"/>
  <c r="F38" i="48"/>
  <c r="I36" i="48"/>
  <c r="I38" i="48"/>
  <c r="J36" i="48"/>
  <c r="J38" i="48"/>
  <c r="I36" i="47"/>
  <c r="I38" i="47"/>
  <c r="F36" i="47"/>
  <c r="F38" i="47"/>
  <c r="H36" i="47"/>
  <c r="H38" i="47"/>
  <c r="C36" i="47"/>
  <c r="C38" i="47"/>
  <c r="G36" i="47"/>
  <c r="G38" i="47"/>
  <c r="J36" i="47"/>
  <c r="J38" i="47"/>
  <c r="E36" i="47"/>
  <c r="E38" i="47"/>
  <c r="D36" i="47"/>
  <c r="D38" i="47"/>
  <c r="I36" i="46"/>
  <c r="I38" i="46"/>
  <c r="H36" i="46"/>
  <c r="H38" i="46"/>
  <c r="G39" i="46"/>
  <c r="G41" i="46"/>
  <c r="G43" i="46"/>
  <c r="G48" i="46"/>
  <c r="D36" i="46"/>
  <c r="D38" i="46"/>
  <c r="F36" i="46"/>
  <c r="F38" i="46"/>
  <c r="J36" i="46"/>
  <c r="J38" i="46"/>
  <c r="C36" i="46"/>
  <c r="C38" i="46"/>
  <c r="E36" i="46"/>
  <c r="E38" i="46"/>
  <c r="G36" i="45"/>
  <c r="G38" i="45"/>
  <c r="E36" i="45"/>
  <c r="E38" i="45"/>
  <c r="F36" i="45"/>
  <c r="F38" i="45"/>
  <c r="H39" i="45"/>
  <c r="H41" i="45"/>
  <c r="H43" i="45"/>
  <c r="H48" i="45"/>
  <c r="C36" i="45"/>
  <c r="C38" i="45"/>
  <c r="D36" i="45"/>
  <c r="D38" i="45"/>
  <c r="J36" i="45"/>
  <c r="J38" i="45"/>
  <c r="I36" i="45"/>
  <c r="I38" i="45"/>
  <c r="H36" i="44"/>
  <c r="H38" i="44"/>
  <c r="F36" i="44"/>
  <c r="F38" i="44"/>
  <c r="C36" i="44"/>
  <c r="C38" i="44"/>
  <c r="G36" i="44"/>
  <c r="G38" i="44"/>
  <c r="I36" i="44"/>
  <c r="I38" i="44"/>
  <c r="J36" i="44"/>
  <c r="J38" i="44"/>
  <c r="D36" i="44"/>
  <c r="D38" i="44"/>
  <c r="E36" i="44"/>
  <c r="E38" i="44"/>
  <c r="I36" i="43"/>
  <c r="I38" i="43"/>
  <c r="D36" i="43"/>
  <c r="D38" i="43"/>
  <c r="H36" i="43"/>
  <c r="H38" i="43"/>
  <c r="G36" i="43"/>
  <c r="G38" i="43"/>
  <c r="C36" i="43"/>
  <c r="C38" i="43"/>
  <c r="E36" i="43"/>
  <c r="E38" i="43"/>
  <c r="J36" i="43"/>
  <c r="J38" i="43"/>
  <c r="F36" i="43"/>
  <c r="F38" i="43"/>
  <c r="G36" i="42"/>
  <c r="G38" i="42"/>
  <c r="H36" i="42"/>
  <c r="H38" i="42"/>
  <c r="D36" i="42"/>
  <c r="D38" i="42"/>
  <c r="F36" i="42"/>
  <c r="F38" i="42"/>
  <c r="E36" i="42"/>
  <c r="E38" i="42"/>
  <c r="C36" i="42"/>
  <c r="C38" i="42"/>
  <c r="J36" i="42"/>
  <c r="J38" i="42"/>
  <c r="I36" i="42"/>
  <c r="I38" i="42"/>
  <c r="G41" i="32"/>
  <c r="G43" i="32"/>
  <c r="G48" i="32"/>
  <c r="D41" i="32"/>
  <c r="D43" i="32"/>
  <c r="D48" i="32"/>
  <c r="F41" i="32"/>
  <c r="F43" i="32"/>
  <c r="F48" i="32"/>
  <c r="I41" i="32"/>
  <c r="I43" i="32"/>
  <c r="I48" i="32"/>
  <c r="J41" i="32"/>
  <c r="J43" i="32"/>
  <c r="J48" i="32"/>
  <c r="C40" i="64"/>
  <c r="C42" i="64"/>
  <c r="F38" i="63"/>
  <c r="F40" i="63"/>
  <c r="F42" i="63"/>
  <c r="F46" i="63"/>
  <c r="D38" i="63"/>
  <c r="D40" i="63"/>
  <c r="D42" i="63"/>
  <c r="D46" i="63"/>
  <c r="C38" i="62"/>
  <c r="C40" i="62"/>
  <c r="C42" i="62"/>
  <c r="C46" i="62"/>
  <c r="G40" i="61"/>
  <c r="G42" i="61"/>
  <c r="G46" i="61"/>
  <c r="F38" i="61"/>
  <c r="F40" i="61"/>
  <c r="F42" i="61"/>
  <c r="F46" i="61"/>
  <c r="E38" i="61"/>
  <c r="E40" i="61"/>
  <c r="E42" i="61"/>
  <c r="E46" i="61"/>
  <c r="F38" i="60"/>
  <c r="F40" i="60"/>
  <c r="F42" i="60"/>
  <c r="F46" i="60"/>
  <c r="D38" i="60"/>
  <c r="D40" i="60"/>
  <c r="D42" i="60"/>
  <c r="D46" i="60"/>
  <c r="G38" i="60"/>
  <c r="G40" i="60"/>
  <c r="G42" i="60"/>
  <c r="G46" i="60"/>
  <c r="E38" i="60"/>
  <c r="E40" i="60"/>
  <c r="E42" i="60"/>
  <c r="E46" i="60"/>
  <c r="C38" i="60"/>
  <c r="C40" i="60"/>
  <c r="C42" i="60"/>
  <c r="C46" i="60"/>
  <c r="H38" i="60"/>
  <c r="H40" i="60"/>
  <c r="H42" i="60"/>
  <c r="H46" i="60"/>
  <c r="I38" i="60"/>
  <c r="I40" i="60"/>
  <c r="I42" i="60"/>
  <c r="I46" i="60"/>
  <c r="J38" i="59"/>
  <c r="J40" i="59"/>
  <c r="J42" i="59"/>
  <c r="J46" i="59"/>
  <c r="F38" i="59"/>
  <c r="F40" i="59"/>
  <c r="F42" i="59"/>
  <c r="F46" i="59"/>
  <c r="D38" i="59"/>
  <c r="D40" i="59"/>
  <c r="D42" i="59"/>
  <c r="D46" i="59"/>
  <c r="E38" i="59"/>
  <c r="E40" i="59"/>
  <c r="E42" i="59"/>
  <c r="E46" i="59"/>
  <c r="I38" i="59"/>
  <c r="I40" i="59"/>
  <c r="I42" i="59"/>
  <c r="I46" i="59"/>
  <c r="H38" i="59"/>
  <c r="H40" i="59"/>
  <c r="H42" i="59"/>
  <c r="H46" i="59"/>
  <c r="G36" i="58"/>
  <c r="G38" i="58"/>
  <c r="G40" i="58"/>
  <c r="G44" i="58"/>
  <c r="H36" i="58"/>
  <c r="H38" i="58"/>
  <c r="H40" i="58"/>
  <c r="H44" i="58"/>
  <c r="D36" i="58"/>
  <c r="D38" i="58"/>
  <c r="D40" i="58"/>
  <c r="D44" i="58"/>
  <c r="F36" i="58"/>
  <c r="F38" i="58"/>
  <c r="F40" i="58"/>
  <c r="F44" i="58"/>
  <c r="E36" i="58"/>
  <c r="E38" i="58"/>
  <c r="E40" i="58"/>
  <c r="E44" i="58"/>
  <c r="C36" i="58"/>
  <c r="C38" i="58"/>
  <c r="C40" i="58"/>
  <c r="C44" i="58"/>
  <c r="I36" i="58"/>
  <c r="I38" i="58"/>
  <c r="I40" i="58"/>
  <c r="I44" i="58"/>
  <c r="D35" i="52"/>
  <c r="D37" i="52"/>
  <c r="D39" i="52"/>
  <c r="D43" i="52"/>
  <c r="E36" i="57"/>
  <c r="E38" i="57"/>
  <c r="E40" i="57"/>
  <c r="E44" i="57"/>
  <c r="C36" i="57"/>
  <c r="C38" i="57"/>
  <c r="C40" i="57"/>
  <c r="C44" i="57"/>
  <c r="I36" i="57"/>
  <c r="I38" i="57"/>
  <c r="I40" i="57"/>
  <c r="I44" i="57"/>
  <c r="F35" i="56"/>
  <c r="F37" i="56"/>
  <c r="F39" i="56"/>
  <c r="F43" i="56"/>
  <c r="D35" i="56"/>
  <c r="D37" i="56"/>
  <c r="D39" i="56"/>
  <c r="D43" i="56"/>
  <c r="E35" i="56"/>
  <c r="E37" i="56"/>
  <c r="E39" i="56"/>
  <c r="E43" i="56"/>
  <c r="H35" i="56"/>
  <c r="H37" i="56"/>
  <c r="H39" i="56"/>
  <c r="H43" i="56"/>
  <c r="I35" i="56"/>
  <c r="I37" i="56"/>
  <c r="I39" i="56"/>
  <c r="I43" i="56"/>
  <c r="C35" i="55"/>
  <c r="C37" i="55"/>
  <c r="C39" i="55"/>
  <c r="C43" i="55"/>
  <c r="F35" i="55"/>
  <c r="F37" i="55"/>
  <c r="F39" i="55"/>
  <c r="F43" i="55"/>
  <c r="I35" i="55"/>
  <c r="I37" i="55"/>
  <c r="I39" i="55"/>
  <c r="I43" i="55"/>
  <c r="H35" i="55"/>
  <c r="H37" i="55"/>
  <c r="H39" i="55"/>
  <c r="H43" i="55"/>
  <c r="D35" i="55"/>
  <c r="D37" i="55"/>
  <c r="D39" i="55"/>
  <c r="D43" i="55"/>
  <c r="G35" i="55"/>
  <c r="G37" i="55"/>
  <c r="G39" i="55"/>
  <c r="G43" i="55"/>
  <c r="E35" i="55"/>
  <c r="E37" i="55"/>
  <c r="E39" i="55"/>
  <c r="E43" i="55"/>
  <c r="G35" i="54"/>
  <c r="G37" i="54"/>
  <c r="G39" i="54"/>
  <c r="G43" i="54"/>
  <c r="J35" i="54"/>
  <c r="J37" i="54"/>
  <c r="J39" i="54"/>
  <c r="J43" i="54"/>
  <c r="F35" i="54"/>
  <c r="F37" i="54"/>
  <c r="F39" i="54"/>
  <c r="F43" i="54"/>
  <c r="H35" i="54"/>
  <c r="H37" i="54"/>
  <c r="H39" i="54"/>
  <c r="H43" i="54"/>
  <c r="I35" i="54"/>
  <c r="I37" i="54"/>
  <c r="I39" i="54"/>
  <c r="I43" i="54"/>
  <c r="C35" i="54"/>
  <c r="C37" i="54"/>
  <c r="C39" i="54"/>
  <c r="C43" i="54"/>
  <c r="D35" i="54"/>
  <c r="D37" i="54"/>
  <c r="D39" i="54"/>
  <c r="D43" i="54"/>
  <c r="J35" i="52"/>
  <c r="J37" i="52"/>
  <c r="J39" i="52"/>
  <c r="J43" i="52"/>
  <c r="I35" i="53"/>
  <c r="I37" i="53"/>
  <c r="I39" i="53"/>
  <c r="I43" i="53"/>
  <c r="C35" i="53"/>
  <c r="C37" i="53"/>
  <c r="C39" i="53"/>
  <c r="C43" i="53"/>
  <c r="E35" i="53"/>
  <c r="E37" i="53"/>
  <c r="E39" i="53"/>
  <c r="E43" i="53"/>
  <c r="H35" i="53"/>
  <c r="H37" i="53"/>
  <c r="H39" i="53"/>
  <c r="H43" i="53"/>
  <c r="J35" i="53"/>
  <c r="J37" i="53"/>
  <c r="J39" i="53"/>
  <c r="J43" i="53"/>
  <c r="D35" i="53"/>
  <c r="D37" i="53"/>
  <c r="D39" i="53"/>
  <c r="D43" i="53"/>
  <c r="F35" i="53"/>
  <c r="F37" i="53"/>
  <c r="F39" i="53"/>
  <c r="F43" i="53"/>
  <c r="G35" i="53"/>
  <c r="G37" i="53"/>
  <c r="G39" i="53"/>
  <c r="G43" i="53"/>
  <c r="F35" i="52"/>
  <c r="F37" i="52"/>
  <c r="F39" i="52"/>
  <c r="F43" i="52"/>
  <c r="C31" i="52"/>
  <c r="C32" i="52"/>
  <c r="C34" i="52"/>
  <c r="C35" i="52"/>
  <c r="C37" i="52"/>
  <c r="C39" i="52"/>
  <c r="C43" i="52"/>
  <c r="C43" i="51"/>
  <c r="C45" i="51"/>
  <c r="C47" i="51"/>
  <c r="C39" i="48"/>
  <c r="C41" i="48"/>
  <c r="C43" i="48"/>
  <c r="C48" i="48"/>
  <c r="F39" i="48"/>
  <c r="F41" i="48"/>
  <c r="F43" i="48"/>
  <c r="F48" i="48"/>
  <c r="G39" i="48"/>
  <c r="G41" i="48"/>
  <c r="G43" i="48"/>
  <c r="G48" i="48"/>
  <c r="E39" i="48"/>
  <c r="E41" i="48"/>
  <c r="E43" i="48"/>
  <c r="E48" i="48"/>
  <c r="H39" i="48"/>
  <c r="H41" i="48"/>
  <c r="H43" i="48"/>
  <c r="H48" i="48"/>
  <c r="D39" i="48"/>
  <c r="D41" i="48"/>
  <c r="D43" i="48"/>
  <c r="D48" i="48"/>
  <c r="J39" i="48"/>
  <c r="J41" i="48"/>
  <c r="J43" i="48"/>
  <c r="J48" i="48"/>
  <c r="I39" i="48"/>
  <c r="I41" i="48"/>
  <c r="I43" i="48"/>
  <c r="I48" i="48"/>
  <c r="I39" i="47"/>
  <c r="I41" i="47"/>
  <c r="I43" i="47"/>
  <c r="I48" i="47"/>
  <c r="H39" i="47"/>
  <c r="H41" i="47"/>
  <c r="H43" i="47"/>
  <c r="H48" i="47"/>
  <c r="E39" i="47"/>
  <c r="E41" i="47"/>
  <c r="E43" i="47"/>
  <c r="E48" i="47"/>
  <c r="G39" i="47"/>
  <c r="G41" i="47"/>
  <c r="G43" i="47"/>
  <c r="G48" i="47"/>
  <c r="F39" i="47"/>
  <c r="F41" i="47"/>
  <c r="F43" i="47"/>
  <c r="F48" i="47"/>
  <c r="C39" i="47"/>
  <c r="C41" i="47"/>
  <c r="C43" i="47"/>
  <c r="C48" i="47"/>
  <c r="D39" i="47"/>
  <c r="D41" i="47"/>
  <c r="D43" i="47"/>
  <c r="D48" i="47"/>
  <c r="J39" i="47"/>
  <c r="J41" i="47"/>
  <c r="J43" i="47"/>
  <c r="J48" i="47"/>
  <c r="C39" i="46"/>
  <c r="C41" i="46"/>
  <c r="C43" i="46"/>
  <c r="C48" i="46"/>
  <c r="E39" i="46"/>
  <c r="E41" i="46"/>
  <c r="E43" i="46"/>
  <c r="E48" i="46"/>
  <c r="H39" i="46"/>
  <c r="H41" i="46"/>
  <c r="H43" i="46"/>
  <c r="H48" i="46"/>
  <c r="I39" i="46"/>
  <c r="I41" i="46"/>
  <c r="I43" i="46"/>
  <c r="I48" i="46"/>
  <c r="D39" i="46"/>
  <c r="D41" i="46"/>
  <c r="D43" i="46"/>
  <c r="D48" i="46"/>
  <c r="F39" i="46"/>
  <c r="F41" i="46"/>
  <c r="F43" i="46"/>
  <c r="F48" i="46"/>
  <c r="J39" i="46"/>
  <c r="J41" i="46"/>
  <c r="J43" i="46"/>
  <c r="J48" i="46"/>
  <c r="G39" i="45"/>
  <c r="G41" i="45"/>
  <c r="G43" i="45"/>
  <c r="G48" i="45"/>
  <c r="F39" i="45"/>
  <c r="F41" i="45"/>
  <c r="F43" i="45"/>
  <c r="F48" i="45"/>
  <c r="I39" i="45"/>
  <c r="I41" i="45"/>
  <c r="I43" i="45"/>
  <c r="I48" i="45"/>
  <c r="D39" i="45"/>
  <c r="D41" i="45"/>
  <c r="D43" i="45"/>
  <c r="D48" i="45"/>
  <c r="C39" i="45"/>
  <c r="C41" i="45"/>
  <c r="C43" i="45"/>
  <c r="C48" i="45"/>
  <c r="E39" i="45"/>
  <c r="E41" i="45"/>
  <c r="E43" i="45"/>
  <c r="E48" i="45"/>
  <c r="J39" i="45"/>
  <c r="J41" i="45"/>
  <c r="J43" i="45"/>
  <c r="J48" i="45"/>
  <c r="G39" i="44"/>
  <c r="G41" i="44"/>
  <c r="G43" i="44"/>
  <c r="G48" i="44"/>
  <c r="C39" i="44"/>
  <c r="C41" i="44"/>
  <c r="C43" i="44"/>
  <c r="C48" i="44"/>
  <c r="E39" i="44"/>
  <c r="E41" i="44"/>
  <c r="E43" i="44"/>
  <c r="E48" i="44"/>
  <c r="D39" i="44"/>
  <c r="D41" i="44"/>
  <c r="D43" i="44"/>
  <c r="D48" i="44"/>
  <c r="H39" i="44"/>
  <c r="H41" i="44"/>
  <c r="H43" i="44"/>
  <c r="H48" i="44"/>
  <c r="F39" i="44"/>
  <c r="F41" i="44"/>
  <c r="F43" i="44"/>
  <c r="F48" i="44"/>
  <c r="I39" i="44"/>
  <c r="I41" i="44"/>
  <c r="I43" i="44"/>
  <c r="I48" i="44"/>
  <c r="J39" i="44"/>
  <c r="J41" i="44"/>
  <c r="J43" i="44"/>
  <c r="J48" i="44"/>
  <c r="I39" i="43"/>
  <c r="I41" i="43"/>
  <c r="I43" i="43"/>
  <c r="I48" i="43"/>
  <c r="D39" i="43"/>
  <c r="D41" i="43"/>
  <c r="D43" i="43"/>
  <c r="D48" i="43"/>
  <c r="J39" i="43"/>
  <c r="J41" i="43"/>
  <c r="J43" i="43"/>
  <c r="J48" i="43"/>
  <c r="E39" i="43"/>
  <c r="E41" i="43"/>
  <c r="E43" i="43"/>
  <c r="E48" i="43"/>
  <c r="G39" i="43"/>
  <c r="G41" i="43"/>
  <c r="G43" i="43"/>
  <c r="G48" i="43"/>
  <c r="H39" i="43"/>
  <c r="H41" i="43"/>
  <c r="H43" i="43"/>
  <c r="H48" i="43"/>
  <c r="F39" i="43"/>
  <c r="F41" i="43"/>
  <c r="F43" i="43"/>
  <c r="F48" i="43"/>
  <c r="C39" i="43"/>
  <c r="C41" i="43"/>
  <c r="C43" i="43"/>
  <c r="C48" i="43"/>
  <c r="E39" i="42"/>
  <c r="E41" i="42"/>
  <c r="E43" i="42"/>
  <c r="E48" i="42"/>
  <c r="F39" i="42"/>
  <c r="F41" i="42"/>
  <c r="F43" i="42"/>
  <c r="F48" i="42"/>
  <c r="D39" i="42"/>
  <c r="D41" i="42"/>
  <c r="D43" i="42"/>
  <c r="D48" i="42"/>
  <c r="H39" i="42"/>
  <c r="H41" i="42"/>
  <c r="H43" i="42"/>
  <c r="H48" i="42"/>
  <c r="I39" i="42"/>
  <c r="I41" i="42"/>
  <c r="I43" i="42"/>
  <c r="I48" i="42"/>
  <c r="G39" i="42"/>
  <c r="G41" i="42"/>
  <c r="G43" i="42"/>
  <c r="G48" i="42"/>
  <c r="J39" i="42"/>
  <c r="J41" i="42"/>
  <c r="J43" i="42"/>
  <c r="J48" i="42"/>
  <c r="C39" i="42"/>
  <c r="C41" i="42"/>
  <c r="C43" i="42"/>
  <c r="C48" i="42"/>
  <c r="E41" i="32"/>
  <c r="E43" i="32"/>
  <c r="E48" i="32"/>
  <c r="H41" i="32"/>
  <c r="H43" i="32"/>
  <c r="H48" i="32"/>
  <c r="C41" i="32"/>
  <c r="C43" i="32"/>
  <c r="C48" i="32"/>
  <c r="C44" i="64"/>
  <c r="I48" i="64"/>
</calcChain>
</file>

<file path=xl/sharedStrings.xml><?xml version="1.0" encoding="utf-8"?>
<sst xmlns="http://schemas.openxmlformats.org/spreadsheetml/2006/main" count="1315" uniqueCount="110">
  <si>
    <t>Fabric</t>
  </si>
  <si>
    <t>Gsm</t>
  </si>
  <si>
    <t>Total</t>
  </si>
  <si>
    <t>Fabric Price</t>
  </si>
  <si>
    <t>Fabric cost</t>
  </si>
  <si>
    <t>Cmt</t>
  </si>
  <si>
    <t>Garment Price</t>
  </si>
  <si>
    <t>Knitting</t>
  </si>
  <si>
    <t>Compacting</t>
  </si>
  <si>
    <t>Sewing thread</t>
  </si>
  <si>
    <t>Chest</t>
  </si>
  <si>
    <t>Length</t>
  </si>
  <si>
    <t>Full Length</t>
  </si>
  <si>
    <t>Rib</t>
  </si>
  <si>
    <t>Body wt</t>
  </si>
  <si>
    <t>Total pc wt</t>
  </si>
  <si>
    <t>Yarn</t>
  </si>
  <si>
    <t>Polybag</t>
  </si>
  <si>
    <t>Cartons</t>
  </si>
  <si>
    <t>Rejection 1%</t>
  </si>
  <si>
    <t>Fob</t>
  </si>
  <si>
    <t>Neck tape</t>
  </si>
  <si>
    <t>Label</t>
  </si>
  <si>
    <t>S</t>
  </si>
  <si>
    <t>M</t>
  </si>
  <si>
    <t>L</t>
  </si>
  <si>
    <t>XL</t>
  </si>
  <si>
    <t>2XL</t>
  </si>
  <si>
    <t>Style</t>
  </si>
  <si>
    <t>USD @ 85</t>
  </si>
  <si>
    <t>Tubular Crewneck</t>
  </si>
  <si>
    <t>Drier</t>
  </si>
  <si>
    <t>Process loss 3%</t>
  </si>
  <si>
    <t>3XL</t>
  </si>
  <si>
    <t>4XL</t>
  </si>
  <si>
    <t>5XL</t>
  </si>
  <si>
    <t>100% Cotton Black</t>
  </si>
  <si>
    <t>Dyeing</t>
  </si>
  <si>
    <t>Stentering</t>
  </si>
  <si>
    <t>Clearance &amp; Freight</t>
  </si>
  <si>
    <t>Duty for USD 0.30 @ 34.5%</t>
  </si>
  <si>
    <t>DDP</t>
  </si>
  <si>
    <t>Profit 20%</t>
  </si>
  <si>
    <t>100% Cotton White</t>
  </si>
  <si>
    <t>100% Cotton OE</t>
  </si>
  <si>
    <t>Process loss 6%</t>
  </si>
  <si>
    <t>Ratio</t>
  </si>
  <si>
    <t>Avg Pc wt</t>
  </si>
  <si>
    <t>USD @ 90</t>
  </si>
  <si>
    <t>Winch Dyeing</t>
  </si>
  <si>
    <t>Crew neck</t>
  </si>
  <si>
    <t>52/43/5 OC / B / Sp</t>
  </si>
  <si>
    <t>Heat Setting</t>
  </si>
  <si>
    <t>Process loss 10%</t>
  </si>
  <si>
    <t>60/40 CP OE</t>
  </si>
  <si>
    <t>Washing</t>
  </si>
  <si>
    <t>Trims</t>
  </si>
  <si>
    <t>Fob USD @ 90</t>
  </si>
  <si>
    <t>Freight &amp; Duty</t>
  </si>
  <si>
    <t>DDP USD</t>
  </si>
  <si>
    <t>1xl</t>
  </si>
  <si>
    <t>2xl</t>
  </si>
  <si>
    <t>3xL</t>
  </si>
  <si>
    <t>4xl</t>
  </si>
  <si>
    <t>5xl</t>
  </si>
  <si>
    <t>6xl</t>
  </si>
  <si>
    <t>7xl</t>
  </si>
  <si>
    <t>8xl</t>
  </si>
  <si>
    <t>60/40 Oe jersey</t>
  </si>
  <si>
    <t>Crew Black</t>
  </si>
  <si>
    <t>MT</t>
  </si>
  <si>
    <t>LT</t>
  </si>
  <si>
    <t>XLT</t>
  </si>
  <si>
    <t>2XLT</t>
  </si>
  <si>
    <t>3XLT</t>
  </si>
  <si>
    <t>4XLT</t>
  </si>
  <si>
    <t>5XLT</t>
  </si>
  <si>
    <t>Sleeve length</t>
  </si>
  <si>
    <t>3xl</t>
  </si>
  <si>
    <t>Brushing</t>
  </si>
  <si>
    <t>Hoody fleece</t>
  </si>
  <si>
    <t>Hood</t>
  </si>
  <si>
    <t>Pocket</t>
  </si>
  <si>
    <t>XS</t>
  </si>
  <si>
    <t>SM</t>
  </si>
  <si>
    <t>MD</t>
  </si>
  <si>
    <t>LG</t>
  </si>
  <si>
    <t>A Tank Black</t>
  </si>
  <si>
    <t>60/40 Oe 2x2 rib</t>
  </si>
  <si>
    <t>Avg pc wt</t>
  </si>
  <si>
    <t>USD @ 88</t>
  </si>
  <si>
    <t>7145T</t>
  </si>
  <si>
    <t>Process loss</t>
  </si>
  <si>
    <t>7160R</t>
  </si>
  <si>
    <t>60/40 Oe side seam</t>
  </si>
  <si>
    <t xml:space="preserve">100% Cotton </t>
  </si>
  <si>
    <t>7145 R</t>
  </si>
  <si>
    <t>60/40 Oe</t>
  </si>
  <si>
    <t>7250 Rfd</t>
  </si>
  <si>
    <t>16350 RFD</t>
  </si>
  <si>
    <t>100% Cotton</t>
  </si>
  <si>
    <t>100% cotton</t>
  </si>
  <si>
    <t>Bicep</t>
  </si>
  <si>
    <t>Sl open</t>
  </si>
  <si>
    <t>Hood ht</t>
  </si>
  <si>
    <t>Hood length</t>
  </si>
  <si>
    <t>Sleeve wt</t>
  </si>
  <si>
    <t>16350 FT RFD</t>
  </si>
  <si>
    <t>16290 Pc</t>
  </si>
  <si>
    <t>80/20 cotton polu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</si>
</sst>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* #,##0.00\ &quot;€&quot;_-;\-* #,##0.00\ &quot;€&quot;_-;_-* &quot;-&quot;??\ &quot;€&quot;_-;_-@_-"/>
  </numFmts>
  <fonts count="6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9">
    <xf numFmtId="0" fontId="0" fillId="0" borderId="0"/>
    <xf numFmtId="0" fontId="5" fillId="0" borderId="0"/>
    <xf numFmtId="0" fontId="5" fillId="0" borderId="0"/>
    <xf numFmtId="164" fontId="5" fillId="0" borderId="0" applyFont="0" applyFill="0" applyBorder="0" applyAlignment="0" applyProtection="0"/>
    <xf numFmtId="0" fontId="5" fillId="0" borderId="0"/>
    <xf numFmtId="0" fontId="5" fillId="0" borderId="0"/>
    <xf numFmtId="164" fontId="5" fillId="0" borderId="0" applyFont="0" applyFill="0" applyBorder="0" applyAlignment="0" applyProtection="0"/>
    <xf numFmtId="0" fontId="4" fillId="0" borderId="0"/>
    <xf numFmtId="0" fontId="5" fillId="0" borderId="0"/>
  </cellStyleXfs>
  <cellXfs count="11">
    <xf numFmtId="0" fontId="0" fillId="0" borderId="0" xfId="0"/>
    <xf numFmtId="0" fontId="0" fillId="0" borderId="0" xfId="0" applyAlignment="1">
      <alignment horizontal="center" vertical="center"/>
    </xf>
    <xf numFmtId="2" fontId="0" fillId="0" borderId="0" xfId="0" applyNumberFormat="1" applyAlignment="1">
      <alignment horizontal="center" vertical="center"/>
    </xf>
    <xf numFmtId="0" fontId="1" fillId="0" borderId="0" xfId="0" applyFont="1" applyAlignment="1">
      <alignment horizontal="center" vertical="center"/>
    </xf>
    <xf numFmtId="2" fontId="1" fillId="0" borderId="0" xfId="0" applyNumberFormat="1" applyFont="1" applyAlignment="1">
      <alignment horizontal="center" vertical="center"/>
    </xf>
    <xf numFmtId="2" fontId="2" fillId="0" borderId="0" xfId="0" applyNumberFormat="1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1" fontId="0" fillId="0" borderId="0" xfId="0" applyNumberForma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0" fillId="0" borderId="0" xfId="0" applyAlignment="1">
      <alignment horizontal="center" vertical="center" wrapText="1"/>
    </xf>
    <xf numFmtId="2" fontId="3" fillId="0" borderId="0" xfId="0" applyNumberFormat="1" applyFont="1" applyAlignment="1">
      <alignment horizontal="center" vertical="center"/>
    </xf>
  </cellXfs>
  <cellStyles count="9">
    <cellStyle name="Normal" xfId="0" builtinId="0"/>
    <cellStyle name="Normal 2" xfId="1" xr:uid="{8C7EFA74-B944-4029-B00C-C79D1BE2B0E4}"/>
    <cellStyle name="Standard 2" xfId="2" xr:uid="{2E78CF9A-038A-4D1F-8FA8-AC38C0A8E1DC}"/>
    <cellStyle name="Standard 2 2" xfId="5" xr:uid="{44B1BF52-FC94-42E9-85D5-553E4E7FB90F}"/>
    <cellStyle name="Standard 3" xfId="4" xr:uid="{EFA97ACC-C63E-4B7D-B18E-B694FC1095FA}"/>
    <cellStyle name="Standard 4" xfId="7" xr:uid="{EDC954FB-6E0B-4EC9-BA62-DB9A5466C6FD}"/>
    <cellStyle name="Standard 5" xfId="8" xr:uid="{E986A9B4-65DB-4560-9754-6897925FD6C0}"/>
    <cellStyle name="Währung 2" xfId="3" xr:uid="{113669FA-6C90-4A78-B277-CE5064A0C262}"/>
    <cellStyle name="Währung 2 2" xfId="6" xr:uid="{8D69D813-ABBE-4AA2-B247-879F831F8A57}"/>
  </cellStyles>
  <dxfs count="0"/>
  <tableStyles count="0" defaultTableStyle="TableStyleMedium2" defaultPivotStyle="PivotStyleLight16"/>
  <colors>
    <mruColors>
      <color rgb="FFFF6600"/>
      <color rgb="FFFF993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 /><Relationship Id="rId13" Type="http://schemas.openxmlformats.org/officeDocument/2006/relationships/worksheet" Target="worksheets/sheet13.xml" /><Relationship Id="rId18" Type="http://schemas.openxmlformats.org/officeDocument/2006/relationships/worksheet" Target="worksheets/sheet18.xml" /><Relationship Id="rId26" Type="http://schemas.openxmlformats.org/officeDocument/2006/relationships/theme" Target="theme/theme1.xml" /><Relationship Id="rId3" Type="http://schemas.openxmlformats.org/officeDocument/2006/relationships/worksheet" Target="worksheets/sheet3.xml" /><Relationship Id="rId21" Type="http://schemas.openxmlformats.org/officeDocument/2006/relationships/worksheet" Target="worksheets/sheet21.xml" /><Relationship Id="rId7" Type="http://schemas.openxmlformats.org/officeDocument/2006/relationships/worksheet" Target="worksheets/sheet7.xml" /><Relationship Id="rId12" Type="http://schemas.openxmlformats.org/officeDocument/2006/relationships/worksheet" Target="worksheets/sheet12.xml" /><Relationship Id="rId17" Type="http://schemas.openxmlformats.org/officeDocument/2006/relationships/worksheet" Target="worksheets/sheet17.xml" /><Relationship Id="rId25" Type="http://schemas.openxmlformats.org/officeDocument/2006/relationships/worksheet" Target="worksheets/sheet25.xml" /><Relationship Id="rId2" Type="http://schemas.openxmlformats.org/officeDocument/2006/relationships/worksheet" Target="worksheets/sheet2.xml" /><Relationship Id="rId16" Type="http://schemas.openxmlformats.org/officeDocument/2006/relationships/worksheet" Target="worksheets/sheet16.xml" /><Relationship Id="rId20" Type="http://schemas.openxmlformats.org/officeDocument/2006/relationships/worksheet" Target="worksheets/sheet20.xml" /><Relationship Id="rId29" Type="http://schemas.openxmlformats.org/officeDocument/2006/relationships/calcChain" Target="calcChain.xml" /><Relationship Id="rId1" Type="http://schemas.openxmlformats.org/officeDocument/2006/relationships/worksheet" Target="worksheets/sheet1.xml" /><Relationship Id="rId6" Type="http://schemas.openxmlformats.org/officeDocument/2006/relationships/worksheet" Target="worksheets/sheet6.xml" /><Relationship Id="rId11" Type="http://schemas.openxmlformats.org/officeDocument/2006/relationships/worksheet" Target="worksheets/sheet11.xml" /><Relationship Id="rId24" Type="http://schemas.openxmlformats.org/officeDocument/2006/relationships/worksheet" Target="worksheets/sheet24.xml" /><Relationship Id="rId5" Type="http://schemas.openxmlformats.org/officeDocument/2006/relationships/worksheet" Target="worksheets/sheet5.xml" /><Relationship Id="rId15" Type="http://schemas.openxmlformats.org/officeDocument/2006/relationships/worksheet" Target="worksheets/sheet15.xml" /><Relationship Id="rId23" Type="http://schemas.openxmlformats.org/officeDocument/2006/relationships/worksheet" Target="worksheets/sheet23.xml" /><Relationship Id="rId28" Type="http://schemas.openxmlformats.org/officeDocument/2006/relationships/sharedStrings" Target="sharedStrings.xml" /><Relationship Id="rId10" Type="http://schemas.openxmlformats.org/officeDocument/2006/relationships/worksheet" Target="worksheets/sheet10.xml" /><Relationship Id="rId19" Type="http://schemas.openxmlformats.org/officeDocument/2006/relationships/worksheet" Target="worksheets/sheet19.xml" /><Relationship Id="rId4" Type="http://schemas.openxmlformats.org/officeDocument/2006/relationships/worksheet" Target="worksheets/sheet4.xml" /><Relationship Id="rId9" Type="http://schemas.openxmlformats.org/officeDocument/2006/relationships/worksheet" Target="worksheets/sheet9.xml" /><Relationship Id="rId14" Type="http://schemas.openxmlformats.org/officeDocument/2006/relationships/worksheet" Target="worksheets/sheet14.xml" /><Relationship Id="rId22" Type="http://schemas.openxmlformats.org/officeDocument/2006/relationships/worksheet" Target="worksheets/sheet22.xml" /><Relationship Id="rId27" Type="http://schemas.openxmlformats.org/officeDocument/2006/relationships/styles" Target="style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 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 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 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 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 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 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 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 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 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 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 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 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 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 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 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 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 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 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 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 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 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 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 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D72DA2-8FC2-4370-9286-B4D920F222A0}">
  <sheetPr>
    <pageSetUpPr fitToPage="1"/>
  </sheetPr>
  <dimension ref="A1:W78"/>
  <sheetViews>
    <sheetView tabSelected="1" zoomScaleNormal="100" workbookViewId="0">
      <pane xSplit="1" ySplit="3" topLeftCell="Q22" activePane="bottomRight" state="frozen"/>
      <selection pane="bottomLeft" activeCell="A4" sqref="A4"/>
      <selection pane="topRight" activeCell="B1" sqref="B1"/>
      <selection pane="bottomRight" activeCell="S52" sqref="S52"/>
    </sheetView>
  </sheetViews>
  <sheetFormatPr defaultColWidth="9.14453125" defaultRowHeight="15" x14ac:dyDescent="0.2"/>
  <cols>
    <col min="1" max="1" width="18.16015625" style="1" bestFit="1" customWidth="1"/>
    <col min="2" max="2" width="5.6484375" style="1" customWidth="1"/>
    <col min="3" max="3" width="17.21875" style="1" bestFit="1" customWidth="1"/>
    <col min="4" max="4" width="9.14453125" style="1"/>
    <col min="5" max="5" width="17.21875" style="1" bestFit="1" customWidth="1"/>
    <col min="6" max="6" width="9.14453125" style="1"/>
    <col min="7" max="7" width="17.21875" style="1" bestFit="1" customWidth="1"/>
    <col min="8" max="8" width="9.14453125" style="1"/>
    <col min="9" max="9" width="17.21875" style="1" bestFit="1" customWidth="1"/>
    <col min="10" max="10" width="9.14453125" style="1"/>
    <col min="11" max="11" width="17.21875" style="1" bestFit="1" customWidth="1"/>
    <col min="12" max="12" width="9.14453125" style="1"/>
    <col min="13" max="13" width="17.21875" style="1" bestFit="1" customWidth="1"/>
    <col min="14" max="14" width="9.14453125" style="1"/>
    <col min="15" max="15" width="17.21875" style="1" bestFit="1" customWidth="1"/>
    <col min="16" max="16" width="9.14453125" style="1"/>
    <col min="17" max="17" width="17.21875" style="1" bestFit="1" customWidth="1"/>
    <col min="18" max="18" width="9.14453125" style="1"/>
    <col min="19" max="19" width="17.21875" style="1" bestFit="1" customWidth="1"/>
    <col min="20" max="20" width="9.14453125" style="1"/>
    <col min="21" max="21" width="17.21875" style="1" bestFit="1" customWidth="1"/>
    <col min="22" max="22" width="9.14453125" style="1"/>
    <col min="23" max="23" width="17.21875" style="1" bestFit="1" customWidth="1"/>
    <col min="24" max="16384" width="9.14453125" style="1"/>
  </cols>
  <sheetData>
    <row r="1" spans="1:23" ht="30" customHeight="1" x14ac:dyDescent="0.2">
      <c r="A1" s="1" t="s">
        <v>28</v>
      </c>
      <c r="C1" s="9" t="s">
        <v>91</v>
      </c>
      <c r="E1" s="9" t="s">
        <v>93</v>
      </c>
      <c r="G1" s="9">
        <v>7145</v>
      </c>
      <c r="I1" s="9" t="s">
        <v>96</v>
      </c>
      <c r="K1" s="9" t="s">
        <v>98</v>
      </c>
      <c r="M1" s="9" t="s">
        <v>99</v>
      </c>
      <c r="O1" s="9" t="s">
        <v>99</v>
      </c>
      <c r="Q1" s="9" t="s">
        <v>107</v>
      </c>
      <c r="S1" s="9">
        <v>7250</v>
      </c>
      <c r="U1" s="9" t="s">
        <v>108</v>
      </c>
      <c r="W1" s="9" t="s">
        <v>108</v>
      </c>
    </row>
    <row r="2" spans="1:23" x14ac:dyDescent="0.2">
      <c r="A2" s="1" t="s">
        <v>0</v>
      </c>
      <c r="C2" s="1" t="s">
        <v>44</v>
      </c>
      <c r="E2" s="1" t="s">
        <v>94</v>
      </c>
      <c r="G2" s="1" t="s">
        <v>95</v>
      </c>
      <c r="I2" s="1" t="s">
        <v>97</v>
      </c>
      <c r="K2" s="1" t="s">
        <v>100</v>
      </c>
      <c r="M2" s="1" t="s">
        <v>101</v>
      </c>
      <c r="O2" s="1" t="s">
        <v>101</v>
      </c>
      <c r="Q2" s="1" t="s">
        <v>101</v>
      </c>
      <c r="S2" s="1" t="s">
        <v>100</v>
      </c>
      <c r="U2" s="1" t="s">
        <v>109</v>
      </c>
      <c r="W2" s="1" t="s">
        <v>109</v>
      </c>
    </row>
    <row r="3" spans="1:23" x14ac:dyDescent="0.2">
      <c r="A3" s="1" t="s">
        <v>1</v>
      </c>
      <c r="C3" s="1">
        <v>145</v>
      </c>
      <c r="E3" s="1">
        <v>160</v>
      </c>
      <c r="G3" s="1">
        <v>145</v>
      </c>
      <c r="I3" s="1">
        <v>145</v>
      </c>
      <c r="K3" s="1">
        <v>250</v>
      </c>
      <c r="M3" s="1">
        <v>350</v>
      </c>
      <c r="O3" s="1">
        <v>475</v>
      </c>
      <c r="Q3" s="1">
        <v>350</v>
      </c>
      <c r="S3" s="1">
        <v>250</v>
      </c>
      <c r="U3" s="1">
        <v>280</v>
      </c>
      <c r="W3" s="1">
        <v>280</v>
      </c>
    </row>
    <row r="5" spans="1:23" x14ac:dyDescent="0.2">
      <c r="A5" s="1" t="s">
        <v>10</v>
      </c>
      <c r="C5" s="1">
        <v>22</v>
      </c>
      <c r="E5" s="1">
        <v>22</v>
      </c>
      <c r="G5" s="1">
        <v>22</v>
      </c>
      <c r="I5" s="1">
        <v>22</v>
      </c>
      <c r="K5" s="1">
        <v>22</v>
      </c>
      <c r="M5" s="1">
        <v>24</v>
      </c>
      <c r="O5" s="1">
        <v>24</v>
      </c>
      <c r="Q5" s="1">
        <v>24</v>
      </c>
      <c r="S5" s="1">
        <v>22</v>
      </c>
      <c r="U5" s="1">
        <v>24</v>
      </c>
      <c r="W5" s="1">
        <v>18</v>
      </c>
    </row>
    <row r="6" spans="1:23" x14ac:dyDescent="0.2">
      <c r="A6" s="1" t="s">
        <v>12</v>
      </c>
      <c r="C6" s="1">
        <v>30</v>
      </c>
      <c r="E6" s="1">
        <v>30</v>
      </c>
      <c r="G6" s="1">
        <v>30</v>
      </c>
      <c r="I6" s="1">
        <v>30</v>
      </c>
      <c r="K6" s="1">
        <v>30</v>
      </c>
      <c r="M6" s="1">
        <v>29</v>
      </c>
      <c r="O6" s="1">
        <v>29</v>
      </c>
      <c r="Q6" s="1">
        <v>29</v>
      </c>
      <c r="S6" s="1">
        <v>30</v>
      </c>
      <c r="U6" s="1">
        <v>29</v>
      </c>
      <c r="W6" s="1">
        <v>23</v>
      </c>
    </row>
    <row r="7" spans="1:23" x14ac:dyDescent="0.2">
      <c r="A7" s="1" t="s">
        <v>77</v>
      </c>
      <c r="C7" s="1">
        <v>8.5</v>
      </c>
      <c r="E7" s="1">
        <v>8.5</v>
      </c>
      <c r="G7" s="1">
        <v>8.5</v>
      </c>
      <c r="I7" s="1">
        <v>8.5</v>
      </c>
      <c r="K7" s="1">
        <v>8.5</v>
      </c>
      <c r="M7" s="1">
        <v>25.25</v>
      </c>
      <c r="O7" s="1">
        <v>25.25</v>
      </c>
      <c r="Q7" s="1">
        <v>25.25</v>
      </c>
      <c r="S7" s="1">
        <v>8.5</v>
      </c>
      <c r="U7" s="1">
        <v>25.25</v>
      </c>
      <c r="W7" s="1">
        <v>20.75</v>
      </c>
    </row>
    <row r="8" spans="1:23" x14ac:dyDescent="0.2">
      <c r="A8" s="1" t="s">
        <v>102</v>
      </c>
      <c r="M8" s="1">
        <v>10</v>
      </c>
      <c r="O8" s="1">
        <v>10</v>
      </c>
      <c r="Q8" s="1">
        <v>10</v>
      </c>
      <c r="U8" s="1">
        <v>10</v>
      </c>
      <c r="W8" s="1">
        <v>7.75</v>
      </c>
    </row>
    <row r="9" spans="1:23" x14ac:dyDescent="0.2">
      <c r="A9" s="1" t="s">
        <v>103</v>
      </c>
      <c r="M9" s="1">
        <v>6</v>
      </c>
      <c r="O9" s="1">
        <v>6</v>
      </c>
      <c r="Q9" s="1">
        <v>6</v>
      </c>
      <c r="U9" s="1">
        <v>6</v>
      </c>
      <c r="W9" s="1">
        <v>5</v>
      </c>
    </row>
    <row r="10" spans="1:23" x14ac:dyDescent="0.2">
      <c r="A10" s="1" t="s">
        <v>104</v>
      </c>
      <c r="M10" s="1">
        <v>16.5</v>
      </c>
      <c r="O10" s="1">
        <v>16.5</v>
      </c>
      <c r="Q10" s="1">
        <v>16.5</v>
      </c>
      <c r="U10" s="1">
        <v>16.5</v>
      </c>
      <c r="W10" s="1">
        <v>13.5</v>
      </c>
    </row>
    <row r="11" spans="1:23" x14ac:dyDescent="0.2">
      <c r="A11" s="1" t="s">
        <v>105</v>
      </c>
      <c r="M11" s="1">
        <v>11.5</v>
      </c>
      <c r="O11" s="1">
        <v>11.5</v>
      </c>
      <c r="Q11" s="1">
        <v>11.5</v>
      </c>
      <c r="U11" s="1">
        <v>11.5</v>
      </c>
      <c r="W11" s="1">
        <v>9</v>
      </c>
    </row>
    <row r="14" spans="1:23" x14ac:dyDescent="0.2">
      <c r="A14" s="1" t="s">
        <v>14</v>
      </c>
      <c r="C14" s="7">
        <f>(C5)*(C6+C7+1)*2*2.54*2.54/10000*C3</f>
        <v>162.58677159999999</v>
      </c>
      <c r="E14" s="7">
        <f>(E5+1)*(E6+E7+3)*2*2.54*2.54/10000*E3</f>
        <v>197.05767040000001</v>
      </c>
      <c r="G14" s="7">
        <f>(G5+1)*(G6+G7+3)*2*2.54*2.54/10000*G3</f>
        <v>178.58351380000002</v>
      </c>
      <c r="I14" s="7">
        <f>(I5+1)*(I6+I7+3)*2*2.54*2.54/10000*I3</f>
        <v>178.58351380000002</v>
      </c>
      <c r="K14" s="7">
        <f>(K5+1)*(K6+K7+3)*2*2.54*2.54/10000*K3</f>
        <v>307.90261000000004</v>
      </c>
      <c r="M14" s="7">
        <f>(M5+1)*(M6+3)*2*2.54*2.54/10000*M3</f>
        <v>361.28959999999995</v>
      </c>
      <c r="O14" s="7">
        <f>(O5+1)*(O6+3)*2*2.54*2.54/10000*O3</f>
        <v>490.32159999999993</v>
      </c>
      <c r="Q14" s="7">
        <f>(Q5+1)*(Q6+3)*2*2.54*2.54/10000*Q3</f>
        <v>361.28959999999995</v>
      </c>
      <c r="S14" s="7">
        <f>(S5+1)*(S6+S7+3)*2*2.54*2.54/10000*S3</f>
        <v>307.90261000000004</v>
      </c>
      <c r="U14" s="7">
        <f>(U5+1)*(U6+3)*2*2.54*2.54/10000*U3</f>
        <v>289.03167999999994</v>
      </c>
      <c r="W14" s="7">
        <f>(W5+1)*(W6+3)*2*2.54*2.54/10000*W3</f>
        <v>178.47706239999999</v>
      </c>
    </row>
    <row r="15" spans="1:23" x14ac:dyDescent="0.2">
      <c r="A15" s="1" t="s">
        <v>106</v>
      </c>
      <c r="C15" s="7"/>
      <c r="E15" s="7"/>
      <c r="G15" s="7"/>
      <c r="I15" s="7"/>
      <c r="K15" s="7"/>
      <c r="M15" s="7">
        <f>(M8+M9+2)*(M7+3)*2*2.54*2.4/10000*M3</f>
        <v>216.98711999999998</v>
      </c>
      <c r="O15" s="7">
        <f>(O8+O9+2)*(O7+3)*2*2.54*2.4/10000*O3</f>
        <v>294.48251999999997</v>
      </c>
      <c r="Q15" s="7">
        <f>(Q8+Q9+2)*(Q7+3)*2*2.54*2.4/10000*Q3</f>
        <v>216.98711999999998</v>
      </c>
      <c r="S15" s="7"/>
      <c r="U15" s="7">
        <f>(U8+U9+2)*(U7+3)*2*2.54*2.4/10000*U3</f>
        <v>173.58969599999998</v>
      </c>
      <c r="W15" s="7">
        <f>(W8+W9+2)*(W7+3)*2*2.54*2.4/10000*W3</f>
        <v>119.58828</v>
      </c>
    </row>
    <row r="16" spans="1:23" x14ac:dyDescent="0.2">
      <c r="A16" s="1" t="s">
        <v>21</v>
      </c>
      <c r="C16" s="7">
        <v>6</v>
      </c>
      <c r="E16" s="7">
        <v>6</v>
      </c>
      <c r="G16" s="7">
        <v>6</v>
      </c>
      <c r="I16" s="7">
        <v>6</v>
      </c>
      <c r="K16" s="7">
        <v>6</v>
      </c>
      <c r="M16" s="7">
        <v>6</v>
      </c>
      <c r="O16" s="7">
        <v>6</v>
      </c>
      <c r="Q16" s="7">
        <v>6</v>
      </c>
      <c r="S16" s="7">
        <v>6</v>
      </c>
      <c r="U16" s="7">
        <v>6</v>
      </c>
      <c r="W16" s="7">
        <v>6</v>
      </c>
    </row>
    <row r="17" spans="1:23" x14ac:dyDescent="0.2">
      <c r="A17" s="1" t="s">
        <v>13</v>
      </c>
      <c r="C17" s="7">
        <v>6</v>
      </c>
      <c r="E17" s="7">
        <v>6</v>
      </c>
      <c r="G17" s="7">
        <v>6</v>
      </c>
      <c r="I17" s="7">
        <v>6</v>
      </c>
      <c r="K17" s="7">
        <v>6</v>
      </c>
      <c r="M17" s="7">
        <v>85</v>
      </c>
      <c r="O17" s="7">
        <v>85</v>
      </c>
      <c r="Q17" s="7">
        <v>85</v>
      </c>
      <c r="S17" s="7">
        <v>6</v>
      </c>
      <c r="U17" s="7">
        <v>85</v>
      </c>
      <c r="W17" s="7">
        <v>75</v>
      </c>
    </row>
    <row r="18" spans="1:23" x14ac:dyDescent="0.2">
      <c r="A18" s="1" t="s">
        <v>81</v>
      </c>
      <c r="C18" s="7"/>
      <c r="E18" s="7"/>
      <c r="G18" s="7"/>
      <c r="I18" s="7"/>
      <c r="K18" s="7"/>
      <c r="M18" s="7">
        <f>(M10+1)*(M11+1)*2*2.54*2.54/10000*510</f>
        <v>143.951325</v>
      </c>
      <c r="O18" s="7">
        <f>(O10+1)*(O11+1)*2*2.54*2.54/10000*635</f>
        <v>179.23351249999999</v>
      </c>
      <c r="Q18" s="7">
        <f>(Q10+1)*(Q11+1)*2*2.54*2.54/10000*510</f>
        <v>143.951325</v>
      </c>
      <c r="S18" s="7"/>
      <c r="U18" s="7">
        <f>(U10+1)*(U11+1)*2*2.54*2.54/10000*440</f>
        <v>124.19329999999999</v>
      </c>
      <c r="W18" s="7">
        <f>(W10+1)*(W11+1)*2*2.54*2.54/10000*440</f>
        <v>82.322416000000004</v>
      </c>
    </row>
    <row r="19" spans="1:23" x14ac:dyDescent="0.2">
      <c r="A19" s="1" t="s">
        <v>82</v>
      </c>
      <c r="C19" s="7"/>
      <c r="E19" s="7"/>
      <c r="G19" s="7"/>
      <c r="I19" s="7"/>
      <c r="K19" s="7"/>
      <c r="M19" s="7">
        <v>35</v>
      </c>
      <c r="O19" s="7">
        <v>35</v>
      </c>
      <c r="Q19" s="7">
        <v>35</v>
      </c>
      <c r="S19" s="7"/>
      <c r="U19" s="7">
        <v>35</v>
      </c>
      <c r="W19" s="7">
        <v>30</v>
      </c>
    </row>
    <row r="21" spans="1:23" x14ac:dyDescent="0.2">
      <c r="A21" s="1" t="s">
        <v>15</v>
      </c>
      <c r="C21" s="7">
        <f>SUM(C14:C20)</f>
        <v>174.58677159999999</v>
      </c>
      <c r="E21" s="7">
        <f>SUM(E14:E20)</f>
        <v>209.05767040000001</v>
      </c>
      <c r="G21" s="7">
        <f t="shared" ref="G21:H21" si="0">SUM(G14:G20)</f>
        <v>190.58351380000002</v>
      </c>
      <c r="I21" s="7">
        <f t="shared" ref="I21:J21" si="1">SUM(I14:I20)</f>
        <v>190.58351380000002</v>
      </c>
      <c r="K21" s="7">
        <f t="shared" ref="K21:L21" si="2">SUM(K14:K20)</f>
        <v>319.90261000000004</v>
      </c>
      <c r="M21" s="7">
        <f t="shared" ref="M21:N21" si="3">SUM(M14:M20)</f>
        <v>848.22804499999995</v>
      </c>
      <c r="O21" s="7">
        <f t="shared" ref="O21:P21" si="4">SUM(O14:O20)</f>
        <v>1090.0376325</v>
      </c>
      <c r="Q21" s="7">
        <f t="shared" ref="Q21" si="5">SUM(Q14:Q20)</f>
        <v>848.22804499999995</v>
      </c>
      <c r="S21" s="7">
        <f t="shared" ref="S21:U21" si="6">SUM(S14:S20)</f>
        <v>319.90261000000004</v>
      </c>
      <c r="U21" s="7">
        <f t="shared" ref="U21:W21" si="7">SUM(U14:U20)</f>
        <v>712.81467599999996</v>
      </c>
      <c r="W21" s="7">
        <f t="shared" si="7"/>
        <v>491.38775839999994</v>
      </c>
    </row>
    <row r="23" spans="1:23" x14ac:dyDescent="0.2">
      <c r="A23" s="1" t="s">
        <v>16</v>
      </c>
      <c r="C23" s="7">
        <v>230</v>
      </c>
      <c r="E23" s="7">
        <v>180</v>
      </c>
      <c r="G23" s="7">
        <v>289</v>
      </c>
      <c r="I23" s="7">
        <v>220</v>
      </c>
      <c r="K23" s="7">
        <v>289</v>
      </c>
      <c r="M23" s="7">
        <v>271</v>
      </c>
      <c r="O23" s="7">
        <v>271</v>
      </c>
      <c r="Q23" s="7">
        <v>271</v>
      </c>
      <c r="S23" s="7">
        <v>289</v>
      </c>
      <c r="U23" s="7">
        <v>271</v>
      </c>
      <c r="W23" s="7">
        <v>271</v>
      </c>
    </row>
    <row r="24" spans="1:23" x14ac:dyDescent="0.2">
      <c r="A24" s="1" t="s">
        <v>7</v>
      </c>
      <c r="C24" s="7">
        <v>10</v>
      </c>
      <c r="E24" s="7">
        <v>10</v>
      </c>
      <c r="G24" s="7">
        <v>10</v>
      </c>
      <c r="I24" s="7">
        <v>10</v>
      </c>
      <c r="K24" s="7">
        <v>10</v>
      </c>
      <c r="M24" s="7">
        <v>14</v>
      </c>
      <c r="O24" s="7">
        <v>14</v>
      </c>
      <c r="Q24" s="7">
        <v>14</v>
      </c>
      <c r="S24" s="7">
        <v>10</v>
      </c>
      <c r="U24" s="7">
        <v>14</v>
      </c>
      <c r="W24" s="7">
        <v>14</v>
      </c>
    </row>
    <row r="25" spans="1:23" x14ac:dyDescent="0.2">
      <c r="A25" s="1" t="s">
        <v>37</v>
      </c>
      <c r="C25" s="7">
        <v>80</v>
      </c>
      <c r="E25" s="7"/>
      <c r="G25" s="7">
        <v>80</v>
      </c>
      <c r="I25" s="7"/>
      <c r="K25" s="7">
        <v>35</v>
      </c>
      <c r="M25" s="7">
        <v>35</v>
      </c>
      <c r="O25" s="7">
        <v>35</v>
      </c>
      <c r="Q25" s="7">
        <v>35</v>
      </c>
      <c r="S25" s="7">
        <v>80</v>
      </c>
      <c r="U25" s="7">
        <v>90</v>
      </c>
      <c r="W25" s="7">
        <v>90</v>
      </c>
    </row>
    <row r="26" spans="1:23" x14ac:dyDescent="0.2">
      <c r="A26" s="1" t="s">
        <v>55</v>
      </c>
      <c r="C26" s="7"/>
      <c r="E26" s="7">
        <v>16</v>
      </c>
      <c r="G26" s="7"/>
      <c r="I26" s="7">
        <v>16</v>
      </c>
      <c r="K26" s="7">
        <v>15</v>
      </c>
      <c r="M26" s="7">
        <v>15</v>
      </c>
      <c r="O26" s="7">
        <v>15</v>
      </c>
      <c r="Q26" s="7">
        <v>15</v>
      </c>
      <c r="S26" s="7"/>
      <c r="U26" s="7"/>
      <c r="W26" s="7"/>
    </row>
    <row r="27" spans="1:23" x14ac:dyDescent="0.2">
      <c r="A27" s="1" t="s">
        <v>38</v>
      </c>
      <c r="C27" s="7"/>
      <c r="E27" s="7">
        <v>18</v>
      </c>
      <c r="G27" s="7">
        <v>18</v>
      </c>
      <c r="I27" s="7">
        <v>18</v>
      </c>
      <c r="K27" s="7">
        <v>18</v>
      </c>
      <c r="M27" s="7">
        <v>18</v>
      </c>
      <c r="O27" s="7">
        <v>18</v>
      </c>
      <c r="Q27" s="7">
        <v>18</v>
      </c>
      <c r="S27" s="7">
        <v>18</v>
      </c>
      <c r="U27" s="7">
        <v>18</v>
      </c>
      <c r="W27" s="7">
        <v>18</v>
      </c>
    </row>
    <row r="28" spans="1:23" x14ac:dyDescent="0.2">
      <c r="A28" s="1" t="s">
        <v>79</v>
      </c>
      <c r="C28" s="7"/>
      <c r="E28" s="7"/>
      <c r="G28" s="7"/>
      <c r="I28" s="7"/>
      <c r="K28" s="7"/>
      <c r="M28" s="7">
        <v>9</v>
      </c>
      <c r="O28" s="7">
        <v>9</v>
      </c>
      <c r="Q28" s="7"/>
      <c r="S28" s="7"/>
      <c r="U28" s="7">
        <v>9</v>
      </c>
      <c r="W28" s="7">
        <v>9</v>
      </c>
    </row>
    <row r="29" spans="1:23" x14ac:dyDescent="0.2">
      <c r="A29" s="1" t="s">
        <v>8</v>
      </c>
      <c r="C29" s="7">
        <v>6</v>
      </c>
      <c r="E29" s="7">
        <v>9</v>
      </c>
      <c r="G29" s="7">
        <v>9</v>
      </c>
      <c r="I29" s="7">
        <v>9</v>
      </c>
      <c r="K29" s="7">
        <v>9</v>
      </c>
      <c r="M29" s="7">
        <v>9</v>
      </c>
      <c r="O29" s="7">
        <v>9</v>
      </c>
      <c r="Q29" s="7">
        <v>9</v>
      </c>
      <c r="S29" s="7">
        <v>9</v>
      </c>
      <c r="U29" s="7">
        <v>9</v>
      </c>
      <c r="W29" s="7">
        <v>9</v>
      </c>
    </row>
    <row r="30" spans="1:23" x14ac:dyDescent="0.2">
      <c r="C30" s="7"/>
      <c r="E30" s="7"/>
      <c r="G30" s="7"/>
      <c r="I30" s="7"/>
      <c r="K30" s="7"/>
      <c r="M30" s="7"/>
      <c r="O30" s="7"/>
      <c r="Q30" s="7"/>
      <c r="S30" s="7"/>
      <c r="U30" s="7"/>
      <c r="W30" s="7"/>
    </row>
    <row r="31" spans="1:23" x14ac:dyDescent="0.2">
      <c r="A31" s="1" t="s">
        <v>2</v>
      </c>
      <c r="C31" s="7">
        <f>SUM(C23:C29)</f>
        <v>326</v>
      </c>
      <c r="E31" s="7">
        <f>SUM(E23:E29)</f>
        <v>233</v>
      </c>
      <c r="G31" s="7">
        <f>SUM(G23:G29)</f>
        <v>406</v>
      </c>
      <c r="I31" s="7">
        <f>SUM(I23:I29)</f>
        <v>273</v>
      </c>
      <c r="K31" s="7">
        <f>SUM(K23:K29)</f>
        <v>376</v>
      </c>
      <c r="M31" s="7">
        <f>SUM(M23:M29)</f>
        <v>371</v>
      </c>
      <c r="O31" s="7">
        <f>SUM(O23:O29)</f>
        <v>371</v>
      </c>
      <c r="Q31" s="7">
        <f>SUM(Q23:Q29)</f>
        <v>362</v>
      </c>
      <c r="S31" s="7">
        <f>SUM(S23:S29)</f>
        <v>406</v>
      </c>
      <c r="U31" s="7">
        <f>SUM(U23:U29)</f>
        <v>411</v>
      </c>
      <c r="W31" s="7">
        <f>SUM(W23:W29)</f>
        <v>411</v>
      </c>
    </row>
    <row r="32" spans="1:23" x14ac:dyDescent="0.2">
      <c r="A32" s="1" t="s">
        <v>92</v>
      </c>
      <c r="C32" s="7">
        <f>C31*6%</f>
        <v>19.559999999999999</v>
      </c>
      <c r="E32" s="7">
        <f>E31*3%</f>
        <v>6.9899999999999993</v>
      </c>
      <c r="G32" s="7">
        <f>G31*8%</f>
        <v>32.480000000000004</v>
      </c>
      <c r="I32" s="7">
        <f>I31*8%</f>
        <v>21.84</v>
      </c>
      <c r="K32" s="7">
        <f>K31*8%</f>
        <v>30.080000000000002</v>
      </c>
      <c r="M32" s="7">
        <f>M31*8%</f>
        <v>29.68</v>
      </c>
      <c r="O32" s="7">
        <f>O31*8%</f>
        <v>29.68</v>
      </c>
      <c r="Q32" s="7">
        <f>Q31*8%</f>
        <v>28.96</v>
      </c>
      <c r="S32" s="7">
        <f>S31*8%</f>
        <v>32.480000000000004</v>
      </c>
      <c r="U32" s="7">
        <f>U31*8%</f>
        <v>32.880000000000003</v>
      </c>
      <c r="W32" s="7">
        <f>W31*8%</f>
        <v>32.880000000000003</v>
      </c>
    </row>
    <row r="33" spans="1:23" x14ac:dyDescent="0.2">
      <c r="C33" s="7"/>
      <c r="E33" s="7"/>
      <c r="G33" s="7"/>
      <c r="I33" s="7"/>
      <c r="K33" s="7"/>
      <c r="M33" s="7"/>
      <c r="O33" s="7"/>
      <c r="Q33" s="7"/>
      <c r="S33" s="7"/>
      <c r="U33" s="7"/>
      <c r="W33" s="7"/>
    </row>
    <row r="34" spans="1:23" s="8" customFormat="1" x14ac:dyDescent="0.2">
      <c r="A34" s="8" t="s">
        <v>3</v>
      </c>
      <c r="C34" s="7">
        <f t="shared" ref="C34:E34" si="8">SUM(C31:C33)</f>
        <v>345.56</v>
      </c>
      <c r="E34" s="7">
        <f t="shared" si="8"/>
        <v>239.99</v>
      </c>
      <c r="G34" s="7">
        <f t="shared" ref="G34:H34" si="9">SUM(G31:G33)</f>
        <v>438.48</v>
      </c>
      <c r="I34" s="7">
        <f t="shared" ref="I34:J34" si="10">SUM(I31:I33)</f>
        <v>294.83999999999997</v>
      </c>
      <c r="K34" s="7">
        <f t="shared" ref="K34:L34" si="11">SUM(K31:K33)</f>
        <v>406.08</v>
      </c>
      <c r="M34" s="7">
        <f t="shared" ref="M34:N34" si="12">SUM(M31:M33)</f>
        <v>400.68</v>
      </c>
      <c r="O34" s="7">
        <f t="shared" ref="O34:P34" si="13">SUM(O31:O33)</f>
        <v>400.68</v>
      </c>
      <c r="Q34" s="7">
        <f t="shared" ref="Q34" si="14">SUM(Q31:Q33)</f>
        <v>390.96</v>
      </c>
      <c r="S34" s="7">
        <f t="shared" ref="S34:U34" si="15">SUM(S31:S33)</f>
        <v>438.48</v>
      </c>
      <c r="U34" s="7">
        <f t="shared" ref="U34:W34" si="16">SUM(U31:U33)</f>
        <v>443.88</v>
      </c>
      <c r="W34" s="7">
        <f t="shared" si="16"/>
        <v>443.88</v>
      </c>
    </row>
    <row r="35" spans="1:23" x14ac:dyDescent="0.2">
      <c r="C35" s="7"/>
      <c r="E35" s="7"/>
      <c r="G35" s="7"/>
      <c r="I35" s="7"/>
      <c r="K35" s="7"/>
      <c r="M35" s="7"/>
      <c r="O35" s="7"/>
      <c r="Q35" s="7"/>
      <c r="S35" s="7"/>
      <c r="U35" s="7"/>
      <c r="W35" s="7"/>
    </row>
    <row r="36" spans="1:23" x14ac:dyDescent="0.2">
      <c r="A36" s="1" t="s">
        <v>4</v>
      </c>
      <c r="C36" s="2">
        <f>C34*C21/1000</f>
        <v>60.330204794095998</v>
      </c>
      <c r="E36" s="2">
        <f>E34*E21/1000</f>
        <v>50.171750319296009</v>
      </c>
      <c r="G36" s="2">
        <f>G34*G21/1000</f>
        <v>83.56705913102401</v>
      </c>
      <c r="I36" s="2">
        <f>I34*I21/1000</f>
        <v>56.191643208792001</v>
      </c>
      <c r="K36" s="2">
        <f>K34*K21/1000</f>
        <v>129.90605186880001</v>
      </c>
      <c r="M36" s="2">
        <f>M34*M21/1000</f>
        <v>339.8680130706</v>
      </c>
      <c r="O36" s="2">
        <f>O34*O21/1000</f>
        <v>436.75627859010001</v>
      </c>
      <c r="Q36" s="2">
        <f>Q34*Q21/1000</f>
        <v>331.6232364732</v>
      </c>
      <c r="S36" s="2">
        <f>S34*S21/1000</f>
        <v>140.27089643280001</v>
      </c>
      <c r="U36" s="2">
        <f>U34*U21/1000</f>
        <v>316.40417838287999</v>
      </c>
      <c r="W36" s="2">
        <f>W34*W21/1000</f>
        <v>218.11719819859198</v>
      </c>
    </row>
    <row r="37" spans="1:23" x14ac:dyDescent="0.2">
      <c r="A37" s="1" t="s">
        <v>5</v>
      </c>
      <c r="C37" s="2">
        <v>12</v>
      </c>
      <c r="E37" s="2">
        <v>15</v>
      </c>
      <c r="G37" s="2">
        <v>15</v>
      </c>
      <c r="I37" s="2">
        <v>15</v>
      </c>
      <c r="K37" s="2">
        <v>15</v>
      </c>
      <c r="M37" s="2">
        <v>45</v>
      </c>
      <c r="O37" s="2">
        <v>45</v>
      </c>
      <c r="Q37" s="2">
        <v>45</v>
      </c>
      <c r="S37" s="2">
        <v>15</v>
      </c>
      <c r="U37" s="2">
        <v>45</v>
      </c>
      <c r="W37" s="2">
        <v>45</v>
      </c>
    </row>
    <row r="38" spans="1:23" x14ac:dyDescent="0.2">
      <c r="A38" s="1" t="s">
        <v>56</v>
      </c>
      <c r="C38" s="2">
        <v>5</v>
      </c>
      <c r="E38" s="2">
        <v>5</v>
      </c>
      <c r="G38" s="2">
        <v>5</v>
      </c>
      <c r="I38" s="2">
        <v>5</v>
      </c>
      <c r="K38" s="2">
        <v>5</v>
      </c>
      <c r="M38" s="2">
        <v>10</v>
      </c>
      <c r="O38" s="2">
        <v>10</v>
      </c>
      <c r="Q38" s="2">
        <v>10</v>
      </c>
      <c r="S38" s="2">
        <v>5</v>
      </c>
      <c r="U38" s="2">
        <v>10</v>
      </c>
      <c r="W38" s="2">
        <v>10</v>
      </c>
    </row>
    <row r="39" spans="1:23" x14ac:dyDescent="0.2">
      <c r="C39" s="2"/>
      <c r="E39" s="2"/>
      <c r="G39" s="2"/>
      <c r="I39" s="2"/>
      <c r="K39" s="2"/>
      <c r="M39" s="2"/>
      <c r="O39" s="2"/>
      <c r="Q39" s="2"/>
      <c r="S39" s="2"/>
      <c r="U39" s="2"/>
      <c r="W39" s="2"/>
    </row>
    <row r="40" spans="1:23" x14ac:dyDescent="0.2">
      <c r="A40" s="1" t="s">
        <v>2</v>
      </c>
      <c r="C40" s="2">
        <f>SUM(C36:C39)</f>
        <v>77.330204794096005</v>
      </c>
      <c r="E40" s="2">
        <f>SUM(E36:E39)</f>
        <v>70.171750319296009</v>
      </c>
      <c r="G40" s="2">
        <f>SUM(G36:G39)</f>
        <v>103.56705913102401</v>
      </c>
      <c r="I40" s="2">
        <f>SUM(I36:I39)</f>
        <v>76.191643208792001</v>
      </c>
      <c r="K40" s="2">
        <f>SUM(K36:K39)</f>
        <v>149.90605186880001</v>
      </c>
      <c r="M40" s="2">
        <f>SUM(M36:M39)</f>
        <v>394.8680130706</v>
      </c>
      <c r="O40" s="2">
        <f>SUM(O36:O39)</f>
        <v>491.75627859010001</v>
      </c>
      <c r="Q40" s="2">
        <f>SUM(Q36:Q39)</f>
        <v>386.6232364732</v>
      </c>
      <c r="S40" s="2">
        <f>SUM(S36:S39)</f>
        <v>160.27089643280001</v>
      </c>
      <c r="U40" s="2">
        <f>SUM(U36:U39)</f>
        <v>371.40417838287999</v>
      </c>
      <c r="W40" s="2">
        <f>SUM(W36:W39)</f>
        <v>273.11719819859195</v>
      </c>
    </row>
    <row r="41" spans="1:23" x14ac:dyDescent="0.2">
      <c r="A41" s="1" t="s">
        <v>19</v>
      </c>
      <c r="C41" s="2">
        <f t="shared" ref="C41:E41" si="17">C40*1%</f>
        <v>0.77330204794096002</v>
      </c>
      <c r="E41" s="2">
        <f t="shared" si="17"/>
        <v>0.70171750319296011</v>
      </c>
      <c r="G41" s="2">
        <f t="shared" ref="G41:H41" si="18">G40*1%</f>
        <v>1.0356705913102402</v>
      </c>
      <c r="I41" s="2">
        <f t="shared" ref="I41:J41" si="19">I40*1%</f>
        <v>0.76191643208792004</v>
      </c>
      <c r="K41" s="2">
        <f t="shared" ref="K41:L41" si="20">K40*1%</f>
        <v>1.4990605186880002</v>
      </c>
      <c r="M41" s="2">
        <f t="shared" ref="M41:N41" si="21">M40*1%</f>
        <v>3.9486801307060002</v>
      </c>
      <c r="O41" s="2">
        <f t="shared" ref="O41:P41" si="22">O40*1%</f>
        <v>4.9175627859010005</v>
      </c>
      <c r="Q41" s="2">
        <f t="shared" ref="Q41" si="23">Q40*1%</f>
        <v>3.8662323647319998</v>
      </c>
      <c r="S41" s="2">
        <f t="shared" ref="S41:U41" si="24">S40*1%</f>
        <v>1.6027089643280001</v>
      </c>
      <c r="U41" s="2">
        <f t="shared" ref="U41:W41" si="25">U40*1%</f>
        <v>3.7140417838288</v>
      </c>
      <c r="W41" s="2">
        <f t="shared" si="25"/>
        <v>2.7311719819859195</v>
      </c>
    </row>
    <row r="42" spans="1:23" x14ac:dyDescent="0.2">
      <c r="C42" s="2"/>
      <c r="E42" s="2"/>
      <c r="G42" s="2"/>
      <c r="I42" s="2"/>
      <c r="K42" s="2"/>
      <c r="M42" s="2"/>
      <c r="O42" s="2"/>
      <c r="Q42" s="2"/>
      <c r="S42" s="2"/>
      <c r="U42" s="2"/>
      <c r="W42" s="2"/>
    </row>
    <row r="43" spans="1:23" x14ac:dyDescent="0.2">
      <c r="A43" s="1" t="s">
        <v>2</v>
      </c>
      <c r="C43" s="2">
        <f t="shared" ref="C43:E43" si="26">SUM(C40:C42)</f>
        <v>78.103506842036964</v>
      </c>
      <c r="E43" s="2">
        <f t="shared" si="26"/>
        <v>70.873467822488976</v>
      </c>
      <c r="G43" s="2">
        <f t="shared" ref="G43:H43" si="27">SUM(G40:G42)</f>
        <v>104.60272972233425</v>
      </c>
      <c r="I43" s="2">
        <f t="shared" ref="I43:J43" si="28">SUM(I40:I42)</f>
        <v>76.953559640879917</v>
      </c>
      <c r="K43" s="2">
        <f t="shared" ref="K43:L43" si="29">SUM(K40:K42)</f>
        <v>151.405112387488</v>
      </c>
      <c r="M43" s="2">
        <f t="shared" ref="M43:N43" si="30">SUM(M40:M42)</f>
        <v>398.81669320130601</v>
      </c>
      <c r="O43" s="2">
        <f t="shared" ref="O43:P43" si="31">SUM(O40:O42)</f>
        <v>496.67384137600101</v>
      </c>
      <c r="Q43" s="2">
        <f t="shared" ref="Q43" si="32">SUM(Q40:Q42)</f>
        <v>390.48946883793201</v>
      </c>
      <c r="S43" s="2">
        <f t="shared" ref="S43:U43" si="33">SUM(S40:S42)</f>
        <v>161.87360539712802</v>
      </c>
      <c r="U43" s="2">
        <f t="shared" ref="U43:W43" si="34">SUM(U40:U42)</f>
        <v>375.1182201667088</v>
      </c>
      <c r="W43" s="2">
        <f t="shared" si="34"/>
        <v>275.84837018057789</v>
      </c>
    </row>
    <row r="44" spans="1:23" x14ac:dyDescent="0.2">
      <c r="A44" s="1" t="s">
        <v>42</v>
      </c>
      <c r="C44" s="2">
        <f>C43*20%</f>
        <v>15.620701368407394</v>
      </c>
      <c r="E44" s="2">
        <f>E43*20%</f>
        <v>14.174693564497796</v>
      </c>
      <c r="G44" s="2">
        <f>G43*20%</f>
        <v>20.920545944466852</v>
      </c>
      <c r="I44" s="2">
        <f>I43*20%</f>
        <v>15.390711928175984</v>
      </c>
      <c r="K44" s="2">
        <f>K43*20%</f>
        <v>30.281022477497601</v>
      </c>
      <c r="M44" s="2">
        <f>M43*20%</f>
        <v>79.76333864026121</v>
      </c>
      <c r="O44" s="2">
        <f>O43*20%</f>
        <v>99.334768275200204</v>
      </c>
      <c r="Q44" s="2">
        <f>Q43*20%</f>
        <v>78.097893767586413</v>
      </c>
      <c r="S44" s="2">
        <f>S43*20%</f>
        <v>32.374721079425605</v>
      </c>
      <c r="U44" s="2">
        <f>U43*20%</f>
        <v>75.023644033341768</v>
      </c>
      <c r="W44" s="2">
        <f>W43*20%</f>
        <v>55.16967403611558</v>
      </c>
    </row>
    <row r="45" spans="1:23" x14ac:dyDescent="0.2">
      <c r="C45" s="2"/>
      <c r="E45" s="2"/>
      <c r="G45" s="2"/>
      <c r="I45" s="2"/>
      <c r="K45" s="2"/>
      <c r="M45" s="2"/>
      <c r="O45" s="2"/>
      <c r="Q45" s="2"/>
      <c r="S45" s="2"/>
      <c r="U45" s="2"/>
      <c r="W45" s="2"/>
    </row>
    <row r="46" spans="1:23" x14ac:dyDescent="0.2">
      <c r="A46" s="1" t="s">
        <v>6</v>
      </c>
      <c r="C46" s="2">
        <f t="shared" ref="C46:E46" si="35">SUM(C43:C45)</f>
        <v>93.72420821044436</v>
      </c>
      <c r="E46" s="2">
        <f t="shared" si="35"/>
        <v>85.048161386986777</v>
      </c>
      <c r="G46" s="2">
        <f t="shared" ref="G46:H46" si="36">SUM(G43:G45)</f>
        <v>125.5232756668011</v>
      </c>
      <c r="I46" s="2">
        <f t="shared" ref="I46:J46" si="37">SUM(I43:I45)</f>
        <v>92.344271569055906</v>
      </c>
      <c r="K46" s="2">
        <f t="shared" ref="K46:L46" si="38">SUM(K43:K45)</f>
        <v>181.6861348649856</v>
      </c>
      <c r="M46" s="2">
        <f t="shared" ref="M46:N46" si="39">SUM(M43:M45)</f>
        <v>478.58003184156723</v>
      </c>
      <c r="O46" s="2">
        <f t="shared" ref="O46:P46" si="40">SUM(O43:O45)</f>
        <v>596.00860965120125</v>
      </c>
      <c r="Q46" s="2">
        <f t="shared" ref="Q46" si="41">SUM(Q43:Q45)</f>
        <v>468.58736260551842</v>
      </c>
      <c r="S46" s="2">
        <f t="shared" ref="S46:U46" si="42">SUM(S43:S45)</f>
        <v>194.24832647655361</v>
      </c>
      <c r="U46" s="2">
        <f t="shared" ref="U46:W46" si="43">SUM(U43:U45)</f>
        <v>450.14186420005058</v>
      </c>
      <c r="W46" s="2">
        <f t="shared" si="43"/>
        <v>331.01804421669345</v>
      </c>
    </row>
    <row r="47" spans="1:23" x14ac:dyDescent="0.2">
      <c r="C47" s="2"/>
      <c r="E47" s="2"/>
      <c r="G47" s="2"/>
      <c r="I47" s="2"/>
      <c r="K47" s="2"/>
      <c r="M47" s="2"/>
      <c r="O47" s="2"/>
      <c r="Q47" s="2"/>
      <c r="S47" s="2"/>
      <c r="U47" s="2"/>
      <c r="W47" s="2"/>
    </row>
    <row r="48" spans="1:23" x14ac:dyDescent="0.2">
      <c r="A48" s="1" t="s">
        <v>57</v>
      </c>
      <c r="C48" s="2">
        <f>C46/90</f>
        <v>1.0413800912271596</v>
      </c>
      <c r="E48" s="2">
        <f>E46/90</f>
        <v>0.94497957096651974</v>
      </c>
      <c r="G48" s="2">
        <f>G46/90</f>
        <v>1.3947030629644566</v>
      </c>
      <c r="I48" s="2">
        <f>I46/90</f>
        <v>1.026047461878399</v>
      </c>
      <c r="K48" s="2">
        <f>K46/90</f>
        <v>2.0187348318331733</v>
      </c>
      <c r="M48" s="2">
        <f>M46/90</f>
        <v>5.3175559093507472</v>
      </c>
      <c r="O48" s="2">
        <f>O46/90</f>
        <v>6.6223178850133468</v>
      </c>
      <c r="Q48" s="2">
        <f>Q46/90</f>
        <v>5.2065262511724271</v>
      </c>
      <c r="S48" s="2">
        <f>S46/90</f>
        <v>2.1583147386283734</v>
      </c>
      <c r="U48" s="2">
        <f>U46/90</f>
        <v>5.0015762688894512</v>
      </c>
      <c r="W48" s="2">
        <f>W46/90</f>
        <v>3.6779782690743716</v>
      </c>
    </row>
    <row r="49" spans="3:23" x14ac:dyDescent="0.2">
      <c r="C49" s="2"/>
      <c r="E49" s="2"/>
      <c r="G49" s="2"/>
      <c r="I49" s="2"/>
      <c r="K49" s="2"/>
      <c r="M49" s="2"/>
      <c r="O49" s="2"/>
      <c r="Q49" s="2"/>
      <c r="S49" s="2"/>
      <c r="U49" s="2"/>
      <c r="W49" s="2"/>
    </row>
    <row r="50" spans="3:23" x14ac:dyDescent="0.2">
      <c r="C50" s="2"/>
      <c r="E50" s="2"/>
      <c r="G50" s="2"/>
      <c r="I50" s="2"/>
      <c r="K50" s="2"/>
      <c r="M50" s="2"/>
      <c r="O50" s="2"/>
      <c r="Q50" s="2"/>
      <c r="S50" s="2"/>
      <c r="U50" s="2"/>
      <c r="W50" s="2"/>
    </row>
    <row r="51" spans="3:23" x14ac:dyDescent="0.2">
      <c r="C51" s="2"/>
      <c r="E51" s="2"/>
      <c r="G51" s="2"/>
      <c r="I51" s="2"/>
      <c r="K51" s="2"/>
      <c r="M51" s="2"/>
      <c r="O51" s="2"/>
      <c r="Q51" s="2"/>
      <c r="S51" s="2"/>
      <c r="U51" s="2"/>
      <c r="W51" s="2"/>
    </row>
    <row r="52" spans="3:23" x14ac:dyDescent="0.2">
      <c r="C52" s="2"/>
      <c r="E52" s="2"/>
      <c r="G52" s="2"/>
      <c r="I52" s="2"/>
      <c r="K52" s="2"/>
      <c r="M52" s="2"/>
      <c r="O52" s="2"/>
      <c r="Q52" s="2"/>
      <c r="S52" s="2"/>
      <c r="U52" s="2"/>
      <c r="W52" s="2"/>
    </row>
    <row r="53" spans="3:23" s="6" customFormat="1" x14ac:dyDescent="0.2">
      <c r="C53" s="5"/>
      <c r="E53" s="5"/>
      <c r="G53" s="5"/>
      <c r="I53" s="5"/>
      <c r="K53" s="5"/>
      <c r="M53" s="5"/>
      <c r="O53" s="5"/>
      <c r="Q53" s="5"/>
      <c r="S53" s="5"/>
      <c r="U53" s="5"/>
      <c r="W53" s="5"/>
    </row>
    <row r="54" spans="3:23" x14ac:dyDescent="0.2">
      <c r="C54" s="2"/>
      <c r="E54" s="2"/>
      <c r="G54" s="2"/>
      <c r="I54" s="2"/>
      <c r="K54" s="2"/>
      <c r="M54" s="2"/>
      <c r="O54" s="2"/>
      <c r="Q54" s="2"/>
      <c r="S54" s="2"/>
      <c r="U54" s="2"/>
      <c r="W54" s="2"/>
    </row>
    <row r="55" spans="3:23" x14ac:dyDescent="0.2">
      <c r="C55" s="2"/>
      <c r="E55" s="2"/>
      <c r="G55" s="2"/>
      <c r="I55" s="2"/>
      <c r="K55" s="2"/>
      <c r="M55" s="2"/>
      <c r="O55" s="2"/>
      <c r="Q55" s="2"/>
      <c r="S55" s="2"/>
      <c r="U55" s="2"/>
      <c r="W55" s="2"/>
    </row>
    <row r="56" spans="3:23" x14ac:dyDescent="0.2">
      <c r="C56" s="2"/>
      <c r="E56" s="2"/>
      <c r="G56" s="2"/>
      <c r="I56" s="2"/>
      <c r="K56" s="2"/>
      <c r="M56" s="2"/>
      <c r="O56" s="2"/>
      <c r="Q56" s="2"/>
      <c r="S56" s="2"/>
      <c r="U56" s="2"/>
      <c r="W56" s="2"/>
    </row>
    <row r="57" spans="3:23" x14ac:dyDescent="0.2">
      <c r="C57" s="2"/>
      <c r="E57" s="2"/>
      <c r="G57" s="2"/>
      <c r="I57" s="2"/>
      <c r="K57" s="2"/>
      <c r="M57" s="2"/>
      <c r="O57" s="2"/>
      <c r="Q57" s="2"/>
      <c r="S57" s="2"/>
      <c r="U57" s="2"/>
      <c r="W57" s="2"/>
    </row>
    <row r="58" spans="3:23" x14ac:dyDescent="0.2">
      <c r="C58" s="2"/>
      <c r="E58" s="2"/>
      <c r="G58" s="2"/>
      <c r="I58" s="2"/>
      <c r="K58" s="2"/>
      <c r="M58" s="2"/>
      <c r="O58" s="2"/>
      <c r="Q58" s="2"/>
      <c r="S58" s="2"/>
      <c r="U58" s="2"/>
      <c r="W58" s="2"/>
    </row>
    <row r="59" spans="3:23" x14ac:dyDescent="0.2">
      <c r="C59" s="2"/>
      <c r="E59" s="2"/>
      <c r="G59" s="2"/>
      <c r="I59" s="2"/>
      <c r="K59" s="2"/>
      <c r="M59" s="2"/>
      <c r="O59" s="2"/>
      <c r="Q59" s="2"/>
      <c r="S59" s="2"/>
      <c r="U59" s="2"/>
      <c r="W59" s="2"/>
    </row>
    <row r="60" spans="3:23" x14ac:dyDescent="0.2">
      <c r="C60" s="2"/>
      <c r="E60" s="2"/>
      <c r="G60" s="2"/>
      <c r="I60" s="2"/>
      <c r="K60" s="2"/>
      <c r="M60" s="2"/>
      <c r="O60" s="2"/>
      <c r="Q60" s="2"/>
      <c r="S60" s="2"/>
      <c r="U60" s="2"/>
      <c r="W60" s="2"/>
    </row>
    <row r="61" spans="3:23" x14ac:dyDescent="0.2">
      <c r="C61" s="2"/>
      <c r="E61" s="2"/>
      <c r="G61" s="2"/>
      <c r="I61" s="2"/>
      <c r="K61" s="2"/>
      <c r="M61" s="2"/>
      <c r="O61" s="2"/>
      <c r="Q61" s="2"/>
      <c r="S61" s="2"/>
      <c r="U61" s="2"/>
      <c r="W61" s="2"/>
    </row>
    <row r="62" spans="3:23" x14ac:dyDescent="0.2">
      <c r="C62" s="2"/>
      <c r="E62" s="2"/>
      <c r="G62" s="2"/>
      <c r="I62" s="2"/>
      <c r="K62" s="2"/>
      <c r="M62" s="2"/>
      <c r="O62" s="2"/>
      <c r="Q62" s="2"/>
      <c r="S62" s="2"/>
      <c r="U62" s="2"/>
      <c r="W62" s="2"/>
    </row>
    <row r="63" spans="3:23" x14ac:dyDescent="0.2">
      <c r="C63" s="2"/>
      <c r="E63" s="2"/>
      <c r="G63" s="2"/>
      <c r="I63" s="2"/>
      <c r="K63" s="2"/>
      <c r="M63" s="2"/>
      <c r="O63" s="2"/>
      <c r="Q63" s="2"/>
      <c r="S63" s="2"/>
      <c r="U63" s="2"/>
      <c r="W63" s="2"/>
    </row>
    <row r="64" spans="3:23" x14ac:dyDescent="0.2">
      <c r="C64" s="2"/>
      <c r="E64" s="2"/>
      <c r="G64" s="2"/>
      <c r="I64" s="2"/>
      <c r="K64" s="2"/>
      <c r="M64" s="2"/>
      <c r="O64" s="2"/>
      <c r="Q64" s="2"/>
      <c r="S64" s="2"/>
      <c r="U64" s="2"/>
      <c r="W64" s="2"/>
    </row>
    <row r="65" spans="3:23" x14ac:dyDescent="0.2">
      <c r="C65" s="2"/>
      <c r="E65" s="2"/>
      <c r="G65" s="2"/>
      <c r="I65" s="2"/>
      <c r="K65" s="2"/>
      <c r="M65" s="2"/>
      <c r="O65" s="2"/>
      <c r="Q65" s="2"/>
      <c r="S65" s="2"/>
      <c r="U65" s="2"/>
      <c r="W65" s="2"/>
    </row>
    <row r="66" spans="3:23" x14ac:dyDescent="0.2">
      <c r="C66" s="2"/>
      <c r="E66" s="2"/>
      <c r="G66" s="2"/>
      <c r="I66" s="2"/>
      <c r="K66" s="2"/>
      <c r="M66" s="2"/>
      <c r="O66" s="2"/>
      <c r="Q66" s="2"/>
      <c r="S66" s="2"/>
      <c r="U66" s="2"/>
      <c r="W66" s="2"/>
    </row>
    <row r="67" spans="3:23" x14ac:dyDescent="0.2">
      <c r="C67" s="2"/>
      <c r="E67" s="2"/>
      <c r="G67" s="2"/>
      <c r="I67" s="2"/>
      <c r="K67" s="2"/>
      <c r="M67" s="2"/>
      <c r="O67" s="2"/>
      <c r="Q67" s="2"/>
      <c r="S67" s="2"/>
      <c r="U67" s="2"/>
      <c r="W67" s="2"/>
    </row>
    <row r="68" spans="3:23" x14ac:dyDescent="0.2">
      <c r="C68" s="2"/>
      <c r="E68" s="2"/>
      <c r="G68" s="2"/>
      <c r="I68" s="2"/>
      <c r="K68" s="2"/>
      <c r="M68" s="2"/>
      <c r="O68" s="2"/>
      <c r="Q68" s="2"/>
      <c r="S68" s="2"/>
      <c r="U68" s="2"/>
      <c r="W68" s="2"/>
    </row>
    <row r="69" spans="3:23" x14ac:dyDescent="0.2">
      <c r="C69" s="2"/>
      <c r="E69" s="2"/>
      <c r="G69" s="2"/>
      <c r="I69" s="2"/>
      <c r="K69" s="2"/>
      <c r="M69" s="2"/>
      <c r="O69" s="2"/>
      <c r="Q69" s="2"/>
      <c r="S69" s="2"/>
      <c r="U69" s="2"/>
      <c r="W69" s="2"/>
    </row>
    <row r="70" spans="3:23" x14ac:dyDescent="0.2">
      <c r="C70" s="2"/>
      <c r="E70" s="2"/>
      <c r="G70" s="2"/>
      <c r="I70" s="2"/>
      <c r="K70" s="2"/>
      <c r="M70" s="2"/>
      <c r="O70" s="2"/>
      <c r="Q70" s="2"/>
      <c r="S70" s="2"/>
      <c r="U70" s="2"/>
      <c r="W70" s="2"/>
    </row>
    <row r="71" spans="3:23" x14ac:dyDescent="0.2">
      <c r="C71" s="2"/>
      <c r="E71" s="2"/>
      <c r="G71" s="2"/>
      <c r="I71" s="2"/>
      <c r="K71" s="2"/>
      <c r="M71" s="2"/>
      <c r="O71" s="2"/>
      <c r="Q71" s="2"/>
      <c r="S71" s="2"/>
      <c r="U71" s="2"/>
      <c r="W71" s="2"/>
    </row>
    <row r="72" spans="3:23" x14ac:dyDescent="0.2">
      <c r="C72" s="10"/>
      <c r="E72" s="10"/>
      <c r="G72" s="10"/>
      <c r="I72" s="10"/>
      <c r="K72" s="10"/>
      <c r="M72" s="10"/>
      <c r="O72" s="10"/>
      <c r="Q72" s="10"/>
      <c r="S72" s="10"/>
      <c r="U72" s="10"/>
      <c r="W72" s="10"/>
    </row>
    <row r="73" spans="3:23" x14ac:dyDescent="0.2">
      <c r="C73" s="2"/>
      <c r="E73" s="2"/>
      <c r="G73" s="2"/>
      <c r="I73" s="2"/>
      <c r="K73" s="2"/>
      <c r="M73" s="2"/>
      <c r="O73" s="2"/>
      <c r="Q73" s="2"/>
      <c r="S73" s="2"/>
      <c r="U73" s="2"/>
      <c r="W73" s="2"/>
    </row>
    <row r="74" spans="3:23" x14ac:dyDescent="0.2">
      <c r="C74" s="10"/>
      <c r="E74" s="10"/>
      <c r="G74" s="10"/>
      <c r="I74" s="10"/>
      <c r="K74" s="10"/>
      <c r="M74" s="10"/>
      <c r="O74" s="10"/>
      <c r="Q74" s="10"/>
      <c r="S74" s="10"/>
      <c r="U74" s="10"/>
      <c r="W74" s="10"/>
    </row>
    <row r="75" spans="3:23" x14ac:dyDescent="0.2">
      <c r="C75" s="2"/>
      <c r="E75" s="2"/>
      <c r="G75" s="2"/>
      <c r="I75" s="2"/>
      <c r="K75" s="2"/>
      <c r="M75" s="2"/>
      <c r="O75" s="2"/>
      <c r="Q75" s="2"/>
      <c r="S75" s="2"/>
      <c r="U75" s="2"/>
      <c r="W75" s="2"/>
    </row>
    <row r="76" spans="3:23" x14ac:dyDescent="0.2">
      <c r="C76" s="10"/>
      <c r="E76" s="10"/>
      <c r="G76" s="10"/>
      <c r="I76" s="10"/>
      <c r="K76" s="10"/>
      <c r="M76" s="10"/>
      <c r="O76" s="10"/>
      <c r="Q76" s="10"/>
      <c r="S76" s="10"/>
      <c r="U76" s="10"/>
      <c r="W76" s="10"/>
    </row>
    <row r="77" spans="3:23" x14ac:dyDescent="0.2">
      <c r="C77" s="2"/>
      <c r="E77" s="2"/>
      <c r="G77" s="2"/>
      <c r="I77" s="2"/>
      <c r="K77" s="2"/>
      <c r="M77" s="2"/>
      <c r="O77" s="2"/>
      <c r="Q77" s="2"/>
      <c r="S77" s="2"/>
      <c r="U77" s="2"/>
      <c r="W77" s="2"/>
    </row>
    <row r="78" spans="3:23" x14ac:dyDescent="0.2">
      <c r="C78" s="2"/>
      <c r="E78" s="2"/>
      <c r="G78" s="2"/>
      <c r="I78" s="2"/>
      <c r="K78" s="2"/>
      <c r="M78" s="2"/>
      <c r="O78" s="2"/>
      <c r="Q78" s="2"/>
      <c r="S78" s="2"/>
      <c r="U78" s="2"/>
      <c r="W78" s="2"/>
    </row>
  </sheetData>
  <pageMargins left="0.39370078740157483" right="0.39370078740157483" top="0.39370078740157483" bottom="0.39370078740157483" header="0.39370078740157483" footer="0.39370078740157483"/>
  <pageSetup paperSize="9" scale="74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CF4A6F-2195-42A2-BF54-BAAD40D3D171}">
  <sheetPr>
    <pageSetUpPr fitToPage="1"/>
  </sheetPr>
  <dimension ref="A1:I74"/>
  <sheetViews>
    <sheetView topLeftCell="A30" zoomScaleNormal="100" workbookViewId="0">
      <selection activeCell="C45" sqref="C45"/>
    </sheetView>
  </sheetViews>
  <sheetFormatPr defaultColWidth="9.14453125" defaultRowHeight="15" x14ac:dyDescent="0.2"/>
  <cols>
    <col min="1" max="1" width="18.16015625" style="1" bestFit="1" customWidth="1"/>
    <col min="2" max="2" width="5.6484375" style="1" customWidth="1"/>
    <col min="3" max="7" width="17.21875" style="1" bestFit="1" customWidth="1"/>
    <col min="8" max="16384" width="9.14453125" style="1"/>
  </cols>
  <sheetData>
    <row r="1" spans="1:8" ht="30" customHeight="1" x14ac:dyDescent="0.2">
      <c r="A1" s="1" t="s">
        <v>28</v>
      </c>
      <c r="C1" s="9" t="s">
        <v>87</v>
      </c>
      <c r="D1" s="9" t="s">
        <v>87</v>
      </c>
      <c r="E1" s="9" t="s">
        <v>87</v>
      </c>
      <c r="F1" s="9" t="s">
        <v>87</v>
      </c>
      <c r="G1" s="9" t="s">
        <v>87</v>
      </c>
    </row>
    <row r="2" spans="1:8" x14ac:dyDescent="0.2">
      <c r="A2" s="1" t="s">
        <v>0</v>
      </c>
      <c r="C2" s="1" t="s">
        <v>88</v>
      </c>
      <c r="D2" s="1" t="s">
        <v>88</v>
      </c>
      <c r="E2" s="1" t="s">
        <v>88</v>
      </c>
      <c r="F2" s="1" t="s">
        <v>88</v>
      </c>
      <c r="G2" s="1" t="s">
        <v>88</v>
      </c>
    </row>
    <row r="3" spans="1:8" x14ac:dyDescent="0.2">
      <c r="A3" s="1" t="s">
        <v>1</v>
      </c>
      <c r="C3" s="1">
        <v>240</v>
      </c>
      <c r="D3" s="1">
        <v>240</v>
      </c>
      <c r="E3" s="1">
        <v>240</v>
      </c>
      <c r="F3" s="1">
        <v>240</v>
      </c>
      <c r="G3" s="1">
        <v>240</v>
      </c>
    </row>
    <row r="4" spans="1:8" x14ac:dyDescent="0.2">
      <c r="C4" s="1" t="s">
        <v>23</v>
      </c>
      <c r="D4" s="1" t="s">
        <v>24</v>
      </c>
      <c r="E4" s="1" t="s">
        <v>25</v>
      </c>
      <c r="F4" s="1" t="s">
        <v>26</v>
      </c>
      <c r="G4" s="1" t="s">
        <v>27</v>
      </c>
    </row>
    <row r="6" spans="1:8" x14ac:dyDescent="0.2">
      <c r="A6" s="1" t="s">
        <v>10</v>
      </c>
      <c r="C6" s="1">
        <v>12.5</v>
      </c>
      <c r="D6" s="1">
        <v>14</v>
      </c>
      <c r="E6" s="1">
        <v>15.5</v>
      </c>
      <c r="F6" s="1">
        <v>17</v>
      </c>
      <c r="G6" s="1">
        <v>18.5</v>
      </c>
    </row>
    <row r="7" spans="1:8" x14ac:dyDescent="0.2">
      <c r="A7" s="1" t="s">
        <v>12</v>
      </c>
      <c r="C7" s="1">
        <v>27.5</v>
      </c>
      <c r="D7" s="1">
        <v>28</v>
      </c>
      <c r="E7" s="1">
        <v>28.5</v>
      </c>
      <c r="F7" s="1">
        <v>29</v>
      </c>
      <c r="G7" s="1">
        <v>29.5</v>
      </c>
    </row>
    <row r="9" spans="1:8" x14ac:dyDescent="0.2">
      <c r="A9" s="1" t="s">
        <v>14</v>
      </c>
      <c r="C9" s="7">
        <f>(C6+1)*(C7+2)*2*2.54*2.54/10000*C3</f>
        <v>123.32878560000002</v>
      </c>
      <c r="D9" s="7">
        <f t="shared" ref="D9:G9" si="0">(D6+1)*(D7+2)*2*2.54*2.54/10000*D3</f>
        <v>139.35456000000002</v>
      </c>
      <c r="E9" s="7">
        <f t="shared" si="0"/>
        <v>155.84484960000003</v>
      </c>
      <c r="F9" s="7">
        <f t="shared" si="0"/>
        <v>172.79965439999998</v>
      </c>
      <c r="G9" s="7">
        <f t="shared" si="0"/>
        <v>190.21897439999998</v>
      </c>
    </row>
    <row r="10" spans="1:8" x14ac:dyDescent="0.2">
      <c r="A10" s="1" t="s">
        <v>13</v>
      </c>
      <c r="C10" s="7">
        <v>30</v>
      </c>
      <c r="D10" s="7">
        <v>30</v>
      </c>
      <c r="E10" s="7">
        <v>30</v>
      </c>
      <c r="F10" s="7">
        <v>30</v>
      </c>
      <c r="G10" s="7">
        <v>30</v>
      </c>
    </row>
    <row r="12" spans="1:8" x14ac:dyDescent="0.2">
      <c r="A12" s="1" t="s">
        <v>15</v>
      </c>
      <c r="C12" s="7">
        <f>SUM(C9:C11)</f>
        <v>153.3287856</v>
      </c>
      <c r="D12" s="7">
        <f>SUM(D9:D11)</f>
        <v>169.35456000000002</v>
      </c>
      <c r="E12" s="7">
        <f>SUM(E9:E11)</f>
        <v>185.84484960000003</v>
      </c>
      <c r="F12" s="7">
        <f>SUM(F9:F11)</f>
        <v>202.79965439999998</v>
      </c>
      <c r="G12" s="7">
        <f>SUM(G9:G11)</f>
        <v>220.21897439999998</v>
      </c>
    </row>
    <row r="13" spans="1:8" x14ac:dyDescent="0.2">
      <c r="A13" s="1" t="s">
        <v>46</v>
      </c>
      <c r="C13" s="7">
        <v>1</v>
      </c>
      <c r="D13" s="7">
        <v>2</v>
      </c>
      <c r="E13" s="7">
        <v>2</v>
      </c>
      <c r="F13" s="7">
        <v>1</v>
      </c>
      <c r="G13" s="7">
        <v>1</v>
      </c>
      <c r="H13" s="7">
        <f>SUM(C13:G13)</f>
        <v>7</v>
      </c>
    </row>
    <row r="14" spans="1:8" x14ac:dyDescent="0.2">
      <c r="C14" s="7"/>
      <c r="D14" s="7"/>
      <c r="E14" s="7"/>
      <c r="F14" s="7"/>
      <c r="G14" s="7"/>
    </row>
    <row r="15" spans="1:8" x14ac:dyDescent="0.2">
      <c r="C15" s="7">
        <f>C13*C12</f>
        <v>153.3287856</v>
      </c>
      <c r="D15" s="7">
        <f t="shared" ref="D15:G15" si="1">D13*D12</f>
        <v>338.70912000000004</v>
      </c>
      <c r="E15" s="7">
        <f t="shared" si="1"/>
        <v>371.68969920000006</v>
      </c>
      <c r="F15" s="7">
        <f t="shared" si="1"/>
        <v>202.79965439999998</v>
      </c>
      <c r="G15" s="7">
        <f t="shared" si="1"/>
        <v>220.21897439999998</v>
      </c>
      <c r="H15" s="7">
        <f>SUM(C15:G15)</f>
        <v>1286.7462336000001</v>
      </c>
    </row>
    <row r="16" spans="1:8" x14ac:dyDescent="0.2">
      <c r="C16" s="7"/>
      <c r="D16" s="7"/>
      <c r="E16" s="7"/>
      <c r="F16" s="7"/>
      <c r="G16" s="7"/>
      <c r="H16" s="7"/>
    </row>
    <row r="17" spans="1:8" x14ac:dyDescent="0.2">
      <c r="A17" s="1" t="s">
        <v>89</v>
      </c>
      <c r="C17" s="7">
        <f>H15/H13</f>
        <v>183.82089051428574</v>
      </c>
      <c r="D17" s="7"/>
      <c r="E17" s="7"/>
      <c r="F17" s="7"/>
      <c r="G17" s="7"/>
      <c r="H17" s="7"/>
    </row>
    <row r="18" spans="1:8" x14ac:dyDescent="0.2">
      <c r="C18" s="7"/>
      <c r="D18" s="7"/>
      <c r="E18" s="7"/>
      <c r="F18" s="7"/>
      <c r="G18" s="7"/>
    </row>
    <row r="20" spans="1:8" x14ac:dyDescent="0.2">
      <c r="A20" s="1" t="s">
        <v>16</v>
      </c>
      <c r="C20" s="7">
        <v>160</v>
      </c>
      <c r="D20" s="7"/>
      <c r="E20" s="7"/>
      <c r="F20" s="7"/>
      <c r="G20" s="7"/>
    </row>
    <row r="21" spans="1:8" x14ac:dyDescent="0.2">
      <c r="A21" s="1" t="s">
        <v>7</v>
      </c>
      <c r="C21" s="7">
        <v>16</v>
      </c>
      <c r="D21" s="7"/>
      <c r="E21" s="7"/>
      <c r="F21" s="7"/>
      <c r="G21" s="7"/>
    </row>
    <row r="22" spans="1:8" x14ac:dyDescent="0.2">
      <c r="A22" s="1" t="s">
        <v>55</v>
      </c>
      <c r="C22" s="7">
        <v>12</v>
      </c>
      <c r="D22" s="7"/>
      <c r="E22" s="7"/>
      <c r="F22" s="7"/>
      <c r="G22" s="7"/>
    </row>
    <row r="23" spans="1:8" x14ac:dyDescent="0.2">
      <c r="A23" s="1" t="s">
        <v>38</v>
      </c>
      <c r="C23" s="7">
        <v>18</v>
      </c>
      <c r="D23" s="7"/>
      <c r="E23" s="7"/>
      <c r="F23" s="7"/>
      <c r="G23" s="7"/>
    </row>
    <row r="24" spans="1:8" x14ac:dyDescent="0.2">
      <c r="A24" s="1" t="s">
        <v>79</v>
      </c>
      <c r="C24" s="7"/>
      <c r="D24" s="7"/>
      <c r="E24" s="7"/>
      <c r="F24" s="7"/>
      <c r="G24" s="7"/>
    </row>
    <row r="25" spans="1:8" x14ac:dyDescent="0.2">
      <c r="A25" s="1" t="s">
        <v>8</v>
      </c>
      <c r="C25" s="7">
        <v>9</v>
      </c>
      <c r="D25" s="7"/>
      <c r="E25" s="7"/>
      <c r="F25" s="7"/>
      <c r="G25" s="7"/>
    </row>
    <row r="26" spans="1:8" x14ac:dyDescent="0.2">
      <c r="C26" s="7"/>
      <c r="D26" s="7"/>
      <c r="E26" s="7"/>
      <c r="F26" s="7"/>
      <c r="G26" s="7"/>
    </row>
    <row r="27" spans="1:8" x14ac:dyDescent="0.2">
      <c r="A27" s="1" t="s">
        <v>2</v>
      </c>
      <c r="C27" s="7">
        <f>SUM(C20:C25)</f>
        <v>215</v>
      </c>
      <c r="D27" s="7"/>
      <c r="E27" s="7"/>
      <c r="F27" s="7"/>
      <c r="G27" s="7"/>
    </row>
    <row r="28" spans="1:8" x14ac:dyDescent="0.2">
      <c r="A28" s="1" t="s">
        <v>32</v>
      </c>
      <c r="C28" s="7">
        <f>C27*3%</f>
        <v>6.45</v>
      </c>
      <c r="D28" s="7"/>
      <c r="E28" s="7"/>
      <c r="F28" s="7"/>
      <c r="G28" s="7"/>
    </row>
    <row r="29" spans="1:8" x14ac:dyDescent="0.2">
      <c r="C29" s="7"/>
      <c r="D29" s="7"/>
      <c r="E29" s="7"/>
      <c r="F29" s="7"/>
      <c r="G29" s="7"/>
    </row>
    <row r="30" spans="1:8" s="8" customFormat="1" x14ac:dyDescent="0.2">
      <c r="A30" s="8" t="s">
        <v>3</v>
      </c>
      <c r="C30" s="7">
        <f t="shared" ref="C30" si="2">SUM(C27:C29)</f>
        <v>221.45</v>
      </c>
      <c r="D30" s="7"/>
      <c r="E30" s="7"/>
      <c r="F30" s="7"/>
      <c r="G30" s="7"/>
    </row>
    <row r="31" spans="1:8" x14ac:dyDescent="0.2">
      <c r="C31" s="7"/>
      <c r="D31" s="7"/>
      <c r="E31" s="7"/>
      <c r="F31" s="7"/>
      <c r="G31" s="7"/>
    </row>
    <row r="32" spans="1:8" x14ac:dyDescent="0.2">
      <c r="A32" s="1" t="s">
        <v>4</v>
      </c>
      <c r="C32" s="2">
        <f>C30*C17/1000</f>
        <v>40.707136204388576</v>
      </c>
      <c r="D32" s="2"/>
      <c r="E32" s="2"/>
      <c r="F32" s="2"/>
      <c r="G32" s="2"/>
    </row>
    <row r="33" spans="1:9" x14ac:dyDescent="0.2">
      <c r="A33" s="1" t="s">
        <v>5</v>
      </c>
      <c r="C33" s="2">
        <v>8</v>
      </c>
      <c r="D33" s="2"/>
      <c r="E33" s="2"/>
      <c r="F33" s="2"/>
      <c r="G33" s="2"/>
    </row>
    <row r="34" spans="1:9" x14ac:dyDescent="0.2">
      <c r="A34" s="1" t="s">
        <v>56</v>
      </c>
      <c r="C34" s="2">
        <f>0.45+0.4+1+1+1.5</f>
        <v>4.3499999999999996</v>
      </c>
      <c r="D34" s="2"/>
      <c r="E34" s="2"/>
      <c r="F34" s="2"/>
      <c r="G34" s="2"/>
    </row>
    <row r="35" spans="1:9" x14ac:dyDescent="0.2">
      <c r="C35" s="2"/>
      <c r="D35" s="2"/>
      <c r="E35" s="2"/>
      <c r="F35" s="2"/>
      <c r="G35" s="2"/>
    </row>
    <row r="36" spans="1:9" x14ac:dyDescent="0.2">
      <c r="A36" s="1" t="s">
        <v>2</v>
      </c>
      <c r="C36" s="2">
        <f>SUM(C32:C35)</f>
        <v>53.057136204388577</v>
      </c>
      <c r="D36" s="2"/>
      <c r="E36" s="2"/>
      <c r="F36" s="2"/>
      <c r="G36" s="2"/>
    </row>
    <row r="37" spans="1:9" x14ac:dyDescent="0.2">
      <c r="A37" s="1" t="s">
        <v>19</v>
      </c>
      <c r="C37" s="2">
        <f t="shared" ref="C37" si="3">C36*1%</f>
        <v>0.53057136204388577</v>
      </c>
      <c r="D37" s="2"/>
      <c r="E37" s="2"/>
      <c r="F37" s="2"/>
      <c r="G37" s="2"/>
    </row>
    <row r="38" spans="1:9" x14ac:dyDescent="0.2">
      <c r="C38" s="2"/>
      <c r="D38" s="2"/>
      <c r="E38" s="2"/>
      <c r="F38" s="2"/>
      <c r="G38" s="2"/>
    </row>
    <row r="39" spans="1:9" x14ac:dyDescent="0.2">
      <c r="A39" s="1" t="s">
        <v>2</v>
      </c>
      <c r="C39" s="2">
        <f t="shared" ref="C39" si="4">SUM(C36:C38)</f>
        <v>53.587707566432464</v>
      </c>
      <c r="D39" s="2"/>
      <c r="E39" s="2"/>
      <c r="F39" s="2"/>
      <c r="G39" s="2"/>
    </row>
    <row r="40" spans="1:9" x14ac:dyDescent="0.2">
      <c r="A40" s="1" t="s">
        <v>42</v>
      </c>
      <c r="C40" s="2">
        <f>C39*20%</f>
        <v>10.717541513286493</v>
      </c>
      <c r="D40" s="2"/>
      <c r="E40" s="2"/>
      <c r="F40" s="2"/>
      <c r="G40" s="2"/>
    </row>
    <row r="41" spans="1:9" x14ac:dyDescent="0.2">
      <c r="C41" s="2"/>
      <c r="D41" s="2"/>
      <c r="E41" s="2"/>
      <c r="F41" s="2"/>
      <c r="G41" s="2"/>
    </row>
    <row r="42" spans="1:9" x14ac:dyDescent="0.2">
      <c r="A42" s="1" t="s">
        <v>6</v>
      </c>
      <c r="C42" s="2">
        <f t="shared" ref="C42" si="5">SUM(C39:C41)</f>
        <v>64.305249079718962</v>
      </c>
      <c r="D42" s="2"/>
      <c r="E42" s="2"/>
      <c r="F42" s="2"/>
      <c r="G42" s="2"/>
    </row>
    <row r="43" spans="1:9" x14ac:dyDescent="0.2">
      <c r="C43" s="2"/>
      <c r="D43" s="2"/>
      <c r="E43" s="2"/>
      <c r="F43" s="2"/>
      <c r="G43" s="2"/>
    </row>
    <row r="44" spans="1:9" x14ac:dyDescent="0.2">
      <c r="A44" s="1" t="s">
        <v>57</v>
      </c>
      <c r="C44" s="2">
        <f>C42/90</f>
        <v>0.71450276755243292</v>
      </c>
      <c r="D44" s="2"/>
      <c r="E44" s="2"/>
      <c r="F44" s="2"/>
      <c r="G44" s="2"/>
    </row>
    <row r="45" spans="1:9" x14ac:dyDescent="0.2">
      <c r="C45" s="2"/>
      <c r="D45" s="2"/>
      <c r="E45" s="2"/>
      <c r="F45" s="2"/>
      <c r="G45" s="2"/>
    </row>
    <row r="46" spans="1:9" x14ac:dyDescent="0.2">
      <c r="C46" s="2"/>
      <c r="D46" s="2"/>
      <c r="E46" s="2"/>
      <c r="F46" s="2"/>
      <c r="G46" s="2"/>
      <c r="H46" s="2"/>
    </row>
    <row r="47" spans="1:9" x14ac:dyDescent="0.2">
      <c r="C47" s="2"/>
      <c r="D47" s="2"/>
      <c r="E47" s="2"/>
      <c r="F47" s="2"/>
      <c r="G47" s="2"/>
    </row>
    <row r="48" spans="1:9" x14ac:dyDescent="0.2">
      <c r="C48" s="2"/>
      <c r="D48" s="2"/>
      <c r="E48" s="2"/>
      <c r="F48" s="2"/>
      <c r="G48" s="2"/>
      <c r="H48" s="2"/>
      <c r="I48" s="1" t="e">
        <f>H48/H46</f>
        <v>#DIV/0!</v>
      </c>
    </row>
    <row r="49" spans="3:7" s="6" customFormat="1" x14ac:dyDescent="0.2">
      <c r="C49" s="5"/>
      <c r="D49" s="5"/>
      <c r="E49" s="5"/>
      <c r="F49" s="5"/>
      <c r="G49" s="5"/>
    </row>
    <row r="50" spans="3:7" x14ac:dyDescent="0.2">
      <c r="C50" s="2"/>
      <c r="D50" s="2"/>
      <c r="E50" s="2"/>
      <c r="F50" s="2"/>
      <c r="G50" s="2"/>
    </row>
    <row r="51" spans="3:7" x14ac:dyDescent="0.2">
      <c r="C51" s="2"/>
      <c r="D51" s="2"/>
      <c r="E51" s="2"/>
      <c r="F51" s="2"/>
      <c r="G51" s="2"/>
    </row>
    <row r="52" spans="3:7" x14ac:dyDescent="0.2">
      <c r="C52" s="2"/>
      <c r="D52" s="2"/>
      <c r="E52" s="2"/>
      <c r="F52" s="2"/>
      <c r="G52" s="2"/>
    </row>
    <row r="53" spans="3:7" x14ac:dyDescent="0.2">
      <c r="C53" s="2"/>
      <c r="D53" s="2"/>
      <c r="E53" s="2"/>
      <c r="F53" s="2"/>
      <c r="G53" s="2"/>
    </row>
    <row r="54" spans="3:7" x14ac:dyDescent="0.2">
      <c r="C54" s="2"/>
      <c r="D54" s="2"/>
      <c r="E54" s="2"/>
      <c r="F54" s="2"/>
      <c r="G54" s="2"/>
    </row>
    <row r="55" spans="3:7" x14ac:dyDescent="0.2">
      <c r="C55" s="2"/>
      <c r="D55" s="2"/>
      <c r="E55" s="2"/>
      <c r="F55" s="2"/>
      <c r="G55" s="2"/>
    </row>
    <row r="56" spans="3:7" x14ac:dyDescent="0.2">
      <c r="C56" s="2"/>
      <c r="D56" s="2"/>
      <c r="E56" s="2"/>
      <c r="F56" s="2"/>
      <c r="G56" s="2"/>
    </row>
    <row r="57" spans="3:7" x14ac:dyDescent="0.2">
      <c r="C57" s="2"/>
      <c r="D57" s="2"/>
      <c r="E57" s="2"/>
      <c r="F57" s="2"/>
      <c r="G57" s="2"/>
    </row>
    <row r="58" spans="3:7" x14ac:dyDescent="0.2">
      <c r="C58" s="2"/>
      <c r="D58" s="2"/>
      <c r="E58" s="2"/>
      <c r="F58" s="2"/>
      <c r="G58" s="2"/>
    </row>
    <row r="59" spans="3:7" x14ac:dyDescent="0.2">
      <c r="C59" s="2"/>
      <c r="D59" s="2"/>
      <c r="E59" s="2"/>
      <c r="F59" s="2"/>
      <c r="G59" s="2"/>
    </row>
    <row r="60" spans="3:7" x14ac:dyDescent="0.2">
      <c r="C60" s="2"/>
      <c r="D60" s="2"/>
      <c r="E60" s="2"/>
      <c r="F60" s="2"/>
      <c r="G60" s="2"/>
    </row>
    <row r="61" spans="3:7" x14ac:dyDescent="0.2">
      <c r="C61" s="2"/>
      <c r="D61" s="2"/>
      <c r="E61" s="2"/>
      <c r="F61" s="2"/>
      <c r="G61" s="2"/>
    </row>
    <row r="62" spans="3:7" x14ac:dyDescent="0.2">
      <c r="C62" s="2"/>
      <c r="D62" s="2"/>
      <c r="E62" s="2"/>
      <c r="F62" s="2"/>
      <c r="G62" s="2"/>
    </row>
    <row r="63" spans="3:7" x14ac:dyDescent="0.2">
      <c r="C63" s="2"/>
      <c r="D63" s="2"/>
      <c r="E63" s="2"/>
      <c r="F63" s="2"/>
      <c r="G63" s="2"/>
    </row>
    <row r="64" spans="3:7" x14ac:dyDescent="0.2">
      <c r="C64" s="2"/>
      <c r="D64" s="2"/>
      <c r="E64" s="2"/>
      <c r="F64" s="2"/>
      <c r="G64" s="2"/>
    </row>
    <row r="65" spans="3:7" x14ac:dyDescent="0.2">
      <c r="C65" s="2"/>
      <c r="D65" s="2"/>
      <c r="E65" s="2"/>
      <c r="F65" s="2"/>
      <c r="G65" s="2"/>
    </row>
    <row r="66" spans="3:7" x14ac:dyDescent="0.2">
      <c r="C66" s="2"/>
      <c r="D66" s="2"/>
      <c r="E66" s="2"/>
      <c r="F66" s="2"/>
      <c r="G66" s="2"/>
    </row>
    <row r="67" spans="3:7" x14ac:dyDescent="0.2">
      <c r="C67" s="2"/>
      <c r="D67" s="2"/>
      <c r="E67" s="2"/>
      <c r="F67" s="2"/>
      <c r="G67" s="2"/>
    </row>
    <row r="68" spans="3:7" x14ac:dyDescent="0.2">
      <c r="C68" s="10"/>
      <c r="D68" s="10"/>
      <c r="E68" s="10"/>
      <c r="F68" s="10"/>
      <c r="G68" s="10"/>
    </row>
    <row r="69" spans="3:7" x14ac:dyDescent="0.2">
      <c r="C69" s="2"/>
      <c r="D69" s="2"/>
      <c r="E69" s="2"/>
      <c r="F69" s="2"/>
      <c r="G69" s="2"/>
    </row>
    <row r="70" spans="3:7" x14ac:dyDescent="0.2">
      <c r="C70" s="10"/>
      <c r="D70" s="10"/>
      <c r="E70" s="10"/>
      <c r="F70" s="10"/>
      <c r="G70" s="10"/>
    </row>
    <row r="71" spans="3:7" x14ac:dyDescent="0.2">
      <c r="C71" s="2"/>
      <c r="D71" s="2"/>
      <c r="E71" s="2"/>
      <c r="F71" s="2"/>
      <c r="G71" s="2"/>
    </row>
    <row r="72" spans="3:7" x14ac:dyDescent="0.2">
      <c r="C72" s="10"/>
      <c r="D72" s="10"/>
      <c r="E72" s="10"/>
      <c r="F72" s="10"/>
      <c r="G72" s="10"/>
    </row>
    <row r="73" spans="3:7" x14ac:dyDescent="0.2">
      <c r="C73" s="2"/>
      <c r="D73" s="2"/>
      <c r="E73" s="2"/>
      <c r="F73" s="2"/>
      <c r="G73" s="2"/>
    </row>
    <row r="74" spans="3:7" x14ac:dyDescent="0.2">
      <c r="C74" s="2"/>
      <c r="D74" s="2"/>
      <c r="E74" s="2"/>
      <c r="F74" s="2"/>
      <c r="G74" s="2"/>
    </row>
  </sheetData>
  <pageMargins left="0.39370078740157483" right="0.39370078740157483" top="0.39370078740157483" bottom="0.39370078740157483" header="0.39370078740157483" footer="0.39370078740157483"/>
  <pageSetup paperSize="9" scale="86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C3627E-030C-4AAF-9010-5EA70C80C49C}">
  <sheetPr>
    <pageSetUpPr fitToPage="1"/>
  </sheetPr>
  <dimension ref="A1:J72"/>
  <sheetViews>
    <sheetView zoomScaleNormal="100" workbookViewId="0">
      <selection activeCell="D8" sqref="D8"/>
    </sheetView>
  </sheetViews>
  <sheetFormatPr defaultColWidth="9.14453125" defaultRowHeight="15" x14ac:dyDescent="0.2"/>
  <cols>
    <col min="1" max="1" width="18.16015625" style="1" bestFit="1" customWidth="1"/>
    <col min="2" max="2" width="5.6484375" style="1" customWidth="1"/>
    <col min="3" max="10" width="17.21875" style="1" bestFit="1" customWidth="1"/>
    <col min="11" max="16384" width="9.14453125" style="1"/>
  </cols>
  <sheetData>
    <row r="1" spans="1:10" ht="30" customHeight="1" x14ac:dyDescent="0.2">
      <c r="A1" s="1" t="s">
        <v>28</v>
      </c>
      <c r="C1" s="9" t="s">
        <v>69</v>
      </c>
      <c r="D1" s="9" t="s">
        <v>69</v>
      </c>
      <c r="E1" s="9" t="s">
        <v>69</v>
      </c>
      <c r="F1" s="9" t="s">
        <v>69</v>
      </c>
      <c r="G1" s="9" t="s">
        <v>69</v>
      </c>
      <c r="H1" s="9" t="s">
        <v>69</v>
      </c>
      <c r="I1" s="9" t="s">
        <v>69</v>
      </c>
      <c r="J1" s="9" t="s">
        <v>69</v>
      </c>
    </row>
    <row r="2" spans="1:10" x14ac:dyDescent="0.2">
      <c r="A2" s="1" t="s">
        <v>0</v>
      </c>
      <c r="C2" s="1" t="s">
        <v>68</v>
      </c>
      <c r="D2" s="1" t="s">
        <v>68</v>
      </c>
      <c r="E2" s="1" t="s">
        <v>68</v>
      </c>
      <c r="F2" s="1" t="s">
        <v>68</v>
      </c>
      <c r="G2" s="1" t="s">
        <v>68</v>
      </c>
      <c r="H2" s="1" t="s">
        <v>68</v>
      </c>
      <c r="I2" s="1" t="s">
        <v>68</v>
      </c>
      <c r="J2" s="1" t="s">
        <v>68</v>
      </c>
    </row>
    <row r="3" spans="1:10" x14ac:dyDescent="0.2">
      <c r="A3" s="1" t="s">
        <v>1</v>
      </c>
      <c r="C3" s="1">
        <v>180</v>
      </c>
      <c r="D3" s="1">
        <v>180</v>
      </c>
      <c r="E3" s="1">
        <v>180</v>
      </c>
      <c r="F3" s="1">
        <v>180</v>
      </c>
      <c r="G3" s="1">
        <v>180</v>
      </c>
      <c r="H3" s="1">
        <v>180</v>
      </c>
      <c r="I3" s="1">
        <v>180</v>
      </c>
      <c r="J3" s="1">
        <v>180</v>
      </c>
    </row>
    <row r="4" spans="1:10" x14ac:dyDescent="0.2">
      <c r="C4" s="1" t="s">
        <v>23</v>
      </c>
      <c r="D4" s="1" t="s">
        <v>24</v>
      </c>
      <c r="E4" s="1" t="s">
        <v>25</v>
      </c>
      <c r="F4" s="1" t="s">
        <v>26</v>
      </c>
      <c r="G4" s="1" t="s">
        <v>27</v>
      </c>
      <c r="H4" s="1" t="s">
        <v>33</v>
      </c>
      <c r="I4" s="1" t="s">
        <v>34</v>
      </c>
      <c r="J4" s="1" t="s">
        <v>35</v>
      </c>
    </row>
    <row r="6" spans="1:10" x14ac:dyDescent="0.2">
      <c r="A6" s="1" t="s">
        <v>10</v>
      </c>
      <c r="C6" s="1">
        <v>18</v>
      </c>
      <c r="D6" s="1">
        <v>20</v>
      </c>
      <c r="E6" s="1">
        <v>22</v>
      </c>
      <c r="F6" s="1">
        <v>24</v>
      </c>
      <c r="G6" s="1">
        <v>26</v>
      </c>
      <c r="H6" s="1">
        <v>28</v>
      </c>
      <c r="I6" s="1">
        <v>30</v>
      </c>
      <c r="J6" s="1">
        <v>32</v>
      </c>
    </row>
    <row r="7" spans="1:10" x14ac:dyDescent="0.2">
      <c r="A7" s="1" t="s">
        <v>12</v>
      </c>
      <c r="C7" s="1">
        <v>29</v>
      </c>
      <c r="D7" s="1">
        <v>30</v>
      </c>
      <c r="E7" s="1">
        <v>31</v>
      </c>
      <c r="F7" s="1">
        <v>32</v>
      </c>
      <c r="G7" s="1">
        <v>33</v>
      </c>
      <c r="H7" s="1">
        <v>34</v>
      </c>
      <c r="I7" s="1">
        <v>35</v>
      </c>
      <c r="J7" s="1">
        <v>36</v>
      </c>
    </row>
    <row r="8" spans="1:10" x14ac:dyDescent="0.2">
      <c r="A8" s="1" t="s">
        <v>77</v>
      </c>
      <c r="C8" s="1">
        <v>25</v>
      </c>
      <c r="D8" s="1">
        <v>26.5</v>
      </c>
      <c r="E8" s="1">
        <v>28</v>
      </c>
      <c r="F8" s="1">
        <v>29.5</v>
      </c>
      <c r="G8" s="1">
        <v>29.5</v>
      </c>
      <c r="H8" s="1">
        <v>30</v>
      </c>
      <c r="I8" s="1">
        <v>30</v>
      </c>
      <c r="J8" s="1">
        <v>30.5</v>
      </c>
    </row>
    <row r="10" spans="1:10" x14ac:dyDescent="0.2">
      <c r="A10" s="1" t="s">
        <v>14</v>
      </c>
      <c r="C10" s="7">
        <f>(C6+1)*(C7+C8+3)*2*2.54*2.54/10000*C3</f>
        <v>251.53498079999997</v>
      </c>
      <c r="D10" s="7">
        <f t="shared" ref="D10:J10" si="0">(D6+1)*(D7+D8+3)*2*2.54*2.54/10000*D3</f>
        <v>290.20587119999999</v>
      </c>
      <c r="E10" s="7">
        <f t="shared" si="0"/>
        <v>331.19933759999998</v>
      </c>
      <c r="F10" s="7">
        <f t="shared" si="0"/>
        <v>374.51537999999999</v>
      </c>
      <c r="G10" s="7">
        <f t="shared" si="0"/>
        <v>410.74756559999997</v>
      </c>
      <c r="H10" s="7">
        <f t="shared" si="0"/>
        <v>451.27651680000002</v>
      </c>
      <c r="I10" s="7">
        <f t="shared" si="0"/>
        <v>489.59902080000001</v>
      </c>
      <c r="J10" s="7">
        <f t="shared" si="0"/>
        <v>532.68280560000005</v>
      </c>
    </row>
    <row r="11" spans="1:10" x14ac:dyDescent="0.2">
      <c r="A11" s="1" t="s">
        <v>21</v>
      </c>
      <c r="C11" s="7">
        <v>6</v>
      </c>
      <c r="D11" s="7">
        <v>6</v>
      </c>
      <c r="E11" s="7">
        <v>6</v>
      </c>
      <c r="F11" s="7">
        <v>6</v>
      </c>
      <c r="G11" s="7">
        <v>6</v>
      </c>
      <c r="H11" s="7">
        <v>6</v>
      </c>
      <c r="I11" s="7">
        <v>6</v>
      </c>
      <c r="J11" s="7">
        <v>6</v>
      </c>
    </row>
    <row r="12" spans="1:10" x14ac:dyDescent="0.2">
      <c r="A12" s="1" t="s">
        <v>13</v>
      </c>
      <c r="C12" s="7">
        <v>6</v>
      </c>
      <c r="D12" s="7">
        <v>6</v>
      </c>
      <c r="E12" s="7">
        <v>6</v>
      </c>
      <c r="F12" s="7">
        <v>6</v>
      </c>
      <c r="G12" s="7">
        <v>6</v>
      </c>
      <c r="H12" s="7">
        <v>6</v>
      </c>
      <c r="I12" s="7">
        <v>6</v>
      </c>
      <c r="J12" s="7">
        <v>6</v>
      </c>
    </row>
    <row r="13" spans="1:10" x14ac:dyDescent="0.2">
      <c r="A13" s="1" t="s">
        <v>81</v>
      </c>
      <c r="C13" s="7"/>
      <c r="D13" s="7"/>
      <c r="E13" s="7"/>
      <c r="F13" s="7"/>
      <c r="G13" s="7"/>
      <c r="H13" s="7"/>
      <c r="I13" s="7"/>
      <c r="J13" s="7"/>
    </row>
    <row r="14" spans="1:10" x14ac:dyDescent="0.2">
      <c r="A14" s="1" t="s">
        <v>82</v>
      </c>
      <c r="C14" s="7"/>
      <c r="D14" s="7"/>
      <c r="E14" s="7"/>
      <c r="F14" s="7"/>
      <c r="G14" s="7"/>
      <c r="H14" s="7"/>
      <c r="I14" s="7"/>
      <c r="J14" s="7"/>
    </row>
    <row r="16" spans="1:10" x14ac:dyDescent="0.2">
      <c r="A16" s="1" t="s">
        <v>15</v>
      </c>
      <c r="C16" s="7">
        <f t="shared" ref="C16" si="1">SUM(C10:C15)</f>
        <v>263.53498079999997</v>
      </c>
      <c r="D16" s="7">
        <f t="shared" ref="D16:J16" si="2">SUM(D10:D15)</f>
        <v>302.20587119999999</v>
      </c>
      <c r="E16" s="7">
        <f t="shared" si="2"/>
        <v>343.19933759999998</v>
      </c>
      <c r="F16" s="7">
        <f t="shared" si="2"/>
        <v>386.51537999999999</v>
      </c>
      <c r="G16" s="7">
        <f t="shared" si="2"/>
        <v>422.74756559999997</v>
      </c>
      <c r="H16" s="7">
        <f t="shared" si="2"/>
        <v>463.27651680000002</v>
      </c>
      <c r="I16" s="7">
        <f t="shared" si="2"/>
        <v>501.59902080000001</v>
      </c>
      <c r="J16" s="7">
        <f t="shared" si="2"/>
        <v>544.68280560000005</v>
      </c>
    </row>
    <row r="18" spans="1:10" x14ac:dyDescent="0.2">
      <c r="A18" s="1" t="s">
        <v>16</v>
      </c>
      <c r="C18" s="7">
        <v>160</v>
      </c>
      <c r="D18" s="7">
        <v>160</v>
      </c>
      <c r="E18" s="7">
        <v>160</v>
      </c>
      <c r="F18" s="7">
        <v>160</v>
      </c>
      <c r="G18" s="7">
        <v>160</v>
      </c>
      <c r="H18" s="7">
        <v>160</v>
      </c>
      <c r="I18" s="7">
        <v>160</v>
      </c>
      <c r="J18" s="7">
        <v>160</v>
      </c>
    </row>
    <row r="19" spans="1:10" x14ac:dyDescent="0.2">
      <c r="A19" s="1" t="s">
        <v>7</v>
      </c>
      <c r="C19" s="7">
        <v>10</v>
      </c>
      <c r="D19" s="7">
        <v>10</v>
      </c>
      <c r="E19" s="7">
        <v>10</v>
      </c>
      <c r="F19" s="7">
        <v>10</v>
      </c>
      <c r="G19" s="7">
        <v>10</v>
      </c>
      <c r="H19" s="7">
        <v>10</v>
      </c>
      <c r="I19" s="7">
        <v>10</v>
      </c>
      <c r="J19" s="7">
        <v>10</v>
      </c>
    </row>
    <row r="20" spans="1:10" x14ac:dyDescent="0.2">
      <c r="A20" s="1" t="s">
        <v>55</v>
      </c>
      <c r="C20" s="7">
        <v>12</v>
      </c>
      <c r="D20" s="7">
        <v>12</v>
      </c>
      <c r="E20" s="7">
        <v>12</v>
      </c>
      <c r="F20" s="7">
        <v>12</v>
      </c>
      <c r="G20" s="7">
        <v>12</v>
      </c>
      <c r="H20" s="7">
        <v>12</v>
      </c>
      <c r="I20" s="7">
        <v>12</v>
      </c>
      <c r="J20" s="7">
        <v>12</v>
      </c>
    </row>
    <row r="21" spans="1:10" x14ac:dyDescent="0.2">
      <c r="A21" s="1" t="s">
        <v>38</v>
      </c>
      <c r="C21" s="7">
        <v>18</v>
      </c>
      <c r="D21" s="7">
        <v>18</v>
      </c>
      <c r="E21" s="7">
        <v>18</v>
      </c>
      <c r="F21" s="7">
        <v>18</v>
      </c>
      <c r="G21" s="7">
        <v>18</v>
      </c>
      <c r="H21" s="7">
        <v>18</v>
      </c>
      <c r="I21" s="7">
        <v>18</v>
      </c>
      <c r="J21" s="7">
        <v>18</v>
      </c>
    </row>
    <row r="22" spans="1:10" x14ac:dyDescent="0.2">
      <c r="A22" s="1" t="s">
        <v>79</v>
      </c>
      <c r="C22" s="7"/>
      <c r="D22" s="7"/>
      <c r="E22" s="7"/>
      <c r="F22" s="7"/>
      <c r="G22" s="7"/>
      <c r="H22" s="7"/>
      <c r="I22" s="7"/>
      <c r="J22" s="7"/>
    </row>
    <row r="23" spans="1:10" x14ac:dyDescent="0.2">
      <c r="A23" s="1" t="s">
        <v>8</v>
      </c>
      <c r="C23" s="7">
        <v>9</v>
      </c>
      <c r="D23" s="7">
        <v>9</v>
      </c>
      <c r="E23" s="7">
        <v>9</v>
      </c>
      <c r="F23" s="7">
        <v>9</v>
      </c>
      <c r="G23" s="7">
        <v>9</v>
      </c>
      <c r="H23" s="7">
        <v>9</v>
      </c>
      <c r="I23" s="7">
        <v>9</v>
      </c>
      <c r="J23" s="7">
        <v>9</v>
      </c>
    </row>
    <row r="24" spans="1:10" x14ac:dyDescent="0.2">
      <c r="C24" s="7"/>
      <c r="D24" s="7"/>
      <c r="E24" s="7"/>
      <c r="F24" s="7"/>
      <c r="G24" s="7"/>
      <c r="H24" s="7"/>
      <c r="I24" s="7"/>
      <c r="J24" s="7"/>
    </row>
    <row r="25" spans="1:10" x14ac:dyDescent="0.2">
      <c r="A25" s="1" t="s">
        <v>2</v>
      </c>
      <c r="C25" s="7">
        <f>SUM(C18:C23)</f>
        <v>209</v>
      </c>
      <c r="D25" s="7">
        <f t="shared" ref="D25:J25" si="3">SUM(D18:D23)</f>
        <v>209</v>
      </c>
      <c r="E25" s="7">
        <f t="shared" si="3"/>
        <v>209</v>
      </c>
      <c r="F25" s="7">
        <f t="shared" si="3"/>
        <v>209</v>
      </c>
      <c r="G25" s="7">
        <f t="shared" si="3"/>
        <v>209</v>
      </c>
      <c r="H25" s="7">
        <f t="shared" si="3"/>
        <v>209</v>
      </c>
      <c r="I25" s="7">
        <f t="shared" si="3"/>
        <v>209</v>
      </c>
      <c r="J25" s="7">
        <f t="shared" si="3"/>
        <v>209</v>
      </c>
    </row>
    <row r="26" spans="1:10" x14ac:dyDescent="0.2">
      <c r="A26" s="1" t="s">
        <v>32</v>
      </c>
      <c r="C26" s="7">
        <f>C25*3%</f>
        <v>6.27</v>
      </c>
      <c r="D26" s="7">
        <f t="shared" ref="D26:J26" si="4">D25*3%</f>
        <v>6.27</v>
      </c>
      <c r="E26" s="7">
        <f t="shared" si="4"/>
        <v>6.27</v>
      </c>
      <c r="F26" s="7">
        <f t="shared" si="4"/>
        <v>6.27</v>
      </c>
      <c r="G26" s="7">
        <f t="shared" si="4"/>
        <v>6.27</v>
      </c>
      <c r="H26" s="7">
        <f t="shared" si="4"/>
        <v>6.27</v>
      </c>
      <c r="I26" s="7">
        <f t="shared" si="4"/>
        <v>6.27</v>
      </c>
      <c r="J26" s="7">
        <f t="shared" si="4"/>
        <v>6.27</v>
      </c>
    </row>
    <row r="27" spans="1:10" x14ac:dyDescent="0.2">
      <c r="C27" s="7"/>
      <c r="D27" s="7"/>
      <c r="E27" s="7"/>
      <c r="F27" s="7"/>
      <c r="G27" s="7"/>
      <c r="H27" s="7"/>
      <c r="I27" s="7"/>
      <c r="J27" s="7"/>
    </row>
    <row r="28" spans="1:10" s="8" customFormat="1" x14ac:dyDescent="0.2">
      <c r="A28" s="8" t="s">
        <v>3</v>
      </c>
      <c r="C28" s="7">
        <f t="shared" ref="C28" si="5">SUM(C25:C27)</f>
        <v>215.27</v>
      </c>
      <c r="D28" s="7">
        <f t="shared" ref="D28:J28" si="6">SUM(D25:D27)</f>
        <v>215.27</v>
      </c>
      <c r="E28" s="7">
        <f t="shared" si="6"/>
        <v>215.27</v>
      </c>
      <c r="F28" s="7">
        <f t="shared" si="6"/>
        <v>215.27</v>
      </c>
      <c r="G28" s="7">
        <f t="shared" si="6"/>
        <v>215.27</v>
      </c>
      <c r="H28" s="7">
        <f t="shared" si="6"/>
        <v>215.27</v>
      </c>
      <c r="I28" s="7">
        <f t="shared" si="6"/>
        <v>215.27</v>
      </c>
      <c r="J28" s="7">
        <f t="shared" si="6"/>
        <v>215.27</v>
      </c>
    </row>
    <row r="29" spans="1:10" x14ac:dyDescent="0.2">
      <c r="C29" s="7"/>
      <c r="D29" s="7"/>
      <c r="E29" s="7"/>
      <c r="F29" s="7"/>
      <c r="G29" s="7"/>
      <c r="H29" s="7"/>
      <c r="I29" s="7"/>
      <c r="J29" s="7"/>
    </row>
    <row r="30" spans="1:10" x14ac:dyDescent="0.2">
      <c r="A30" s="1" t="s">
        <v>4</v>
      </c>
      <c r="C30" s="2">
        <f>C28*C16/1000</f>
        <v>56.731175316816</v>
      </c>
      <c r="D30" s="2">
        <f t="shared" ref="D30:J30" si="7">D28*D16/1000</f>
        <v>65.055857893224001</v>
      </c>
      <c r="E30" s="2">
        <f t="shared" si="7"/>
        <v>73.880521405151995</v>
      </c>
      <c r="F30" s="2">
        <f t="shared" si="7"/>
        <v>83.20516585259999</v>
      </c>
      <c r="G30" s="2">
        <f t="shared" si="7"/>
        <v>91.00486844671201</v>
      </c>
      <c r="H30" s="2">
        <f t="shared" si="7"/>
        <v>99.729535771536021</v>
      </c>
      <c r="I30" s="2">
        <f t="shared" si="7"/>
        <v>107.97922120761601</v>
      </c>
      <c r="J30" s="2">
        <f t="shared" si="7"/>
        <v>117.25386756151201</v>
      </c>
    </row>
    <row r="31" spans="1:10" x14ac:dyDescent="0.2">
      <c r="A31" s="1" t="s">
        <v>5</v>
      </c>
      <c r="C31" s="2">
        <v>12</v>
      </c>
      <c r="D31" s="2">
        <v>12</v>
      </c>
      <c r="E31" s="2">
        <v>12</v>
      </c>
      <c r="F31" s="2">
        <v>12</v>
      </c>
      <c r="G31" s="2">
        <v>12</v>
      </c>
      <c r="H31" s="2">
        <v>12</v>
      </c>
      <c r="I31" s="2">
        <v>12</v>
      </c>
      <c r="J31" s="2">
        <v>12</v>
      </c>
    </row>
    <row r="32" spans="1:10" x14ac:dyDescent="0.2">
      <c r="A32" s="1" t="s">
        <v>56</v>
      </c>
      <c r="C32" s="2">
        <v>10</v>
      </c>
      <c r="D32" s="2">
        <v>10</v>
      </c>
      <c r="E32" s="2">
        <v>10</v>
      </c>
      <c r="F32" s="2">
        <v>10</v>
      </c>
      <c r="G32" s="2">
        <v>10</v>
      </c>
      <c r="H32" s="2">
        <v>10</v>
      </c>
      <c r="I32" s="2">
        <v>10</v>
      </c>
      <c r="J32" s="2">
        <v>10</v>
      </c>
    </row>
    <row r="33" spans="1:10" x14ac:dyDescent="0.2">
      <c r="C33" s="2"/>
      <c r="D33" s="2"/>
      <c r="E33" s="2"/>
      <c r="F33" s="2"/>
      <c r="G33" s="2"/>
      <c r="H33" s="2"/>
      <c r="I33" s="2"/>
      <c r="J33" s="2"/>
    </row>
    <row r="34" spans="1:10" x14ac:dyDescent="0.2">
      <c r="A34" s="1" t="s">
        <v>2</v>
      </c>
      <c r="C34" s="2">
        <f>SUM(C30:C33)</f>
        <v>78.731175316816007</v>
      </c>
      <c r="D34" s="2">
        <f t="shared" ref="D34:J34" si="8">SUM(D30:D33)</f>
        <v>87.055857893224001</v>
      </c>
      <c r="E34" s="2">
        <f t="shared" si="8"/>
        <v>95.880521405151995</v>
      </c>
      <c r="F34" s="2">
        <f t="shared" si="8"/>
        <v>105.20516585259999</v>
      </c>
      <c r="G34" s="2">
        <f t="shared" si="8"/>
        <v>113.00486844671201</v>
      </c>
      <c r="H34" s="2">
        <f t="shared" si="8"/>
        <v>121.72953577153602</v>
      </c>
      <c r="I34" s="2">
        <f t="shared" si="8"/>
        <v>129.97922120761601</v>
      </c>
      <c r="J34" s="2">
        <f t="shared" si="8"/>
        <v>139.25386756151201</v>
      </c>
    </row>
    <row r="35" spans="1:10" x14ac:dyDescent="0.2">
      <c r="A35" s="1" t="s">
        <v>19</v>
      </c>
      <c r="C35" s="2">
        <f t="shared" ref="C35" si="9">C34*1%</f>
        <v>0.78731175316816004</v>
      </c>
      <c r="D35" s="2">
        <f t="shared" ref="D35:J35" si="10">D34*1%</f>
        <v>0.87055857893223998</v>
      </c>
      <c r="E35" s="2">
        <f t="shared" si="10"/>
        <v>0.95880521405151997</v>
      </c>
      <c r="F35" s="2">
        <f t="shared" si="10"/>
        <v>1.052051658526</v>
      </c>
      <c r="G35" s="2">
        <f t="shared" si="10"/>
        <v>1.13004868446712</v>
      </c>
      <c r="H35" s="2">
        <f t="shared" si="10"/>
        <v>1.2172953577153602</v>
      </c>
      <c r="I35" s="2">
        <f t="shared" si="10"/>
        <v>1.29979221207616</v>
      </c>
      <c r="J35" s="2">
        <f t="shared" si="10"/>
        <v>1.3925386756151201</v>
      </c>
    </row>
    <row r="36" spans="1:10" x14ac:dyDescent="0.2">
      <c r="C36" s="2"/>
      <c r="D36" s="2"/>
      <c r="E36" s="2"/>
      <c r="F36" s="2"/>
      <c r="G36" s="2"/>
      <c r="H36" s="2"/>
      <c r="I36" s="2"/>
      <c r="J36" s="2"/>
    </row>
    <row r="37" spans="1:10" x14ac:dyDescent="0.2">
      <c r="A37" s="1" t="s">
        <v>2</v>
      </c>
      <c r="C37" s="2">
        <f t="shared" ref="C37" si="11">SUM(C34:C36)</f>
        <v>79.518487069984161</v>
      </c>
      <c r="D37" s="2">
        <f t="shared" ref="D37:J37" si="12">SUM(D34:D36)</f>
        <v>87.926416472156248</v>
      </c>
      <c r="E37" s="2">
        <f t="shared" si="12"/>
        <v>96.839326619203518</v>
      </c>
      <c r="F37" s="2">
        <f t="shared" si="12"/>
        <v>106.25721751112599</v>
      </c>
      <c r="G37" s="2">
        <f t="shared" si="12"/>
        <v>114.13491713117914</v>
      </c>
      <c r="H37" s="2">
        <f t="shared" si="12"/>
        <v>122.94683112925138</v>
      </c>
      <c r="I37" s="2">
        <f t="shared" si="12"/>
        <v>131.27901341969218</v>
      </c>
      <c r="J37" s="2">
        <f t="shared" si="12"/>
        <v>140.64640623712714</v>
      </c>
    </row>
    <row r="38" spans="1:10" x14ac:dyDescent="0.2">
      <c r="A38" s="1" t="s">
        <v>42</v>
      </c>
      <c r="C38" s="2">
        <f>C37*20%</f>
        <v>15.903697413996833</v>
      </c>
      <c r="D38" s="2">
        <f t="shared" ref="D38:J38" si="13">D37*20%</f>
        <v>17.58528329443125</v>
      </c>
      <c r="E38" s="2">
        <f t="shared" si="13"/>
        <v>19.367865323840704</v>
      </c>
      <c r="F38" s="2">
        <f t="shared" si="13"/>
        <v>21.2514435022252</v>
      </c>
      <c r="G38" s="2">
        <f t="shared" si="13"/>
        <v>22.826983426235827</v>
      </c>
      <c r="H38" s="2">
        <f t="shared" si="13"/>
        <v>24.589366225850277</v>
      </c>
      <c r="I38" s="2">
        <f t="shared" si="13"/>
        <v>26.255802683938438</v>
      </c>
      <c r="J38" s="2">
        <f t="shared" si="13"/>
        <v>28.129281247425428</v>
      </c>
    </row>
    <row r="39" spans="1:10" x14ac:dyDescent="0.2">
      <c r="C39" s="2"/>
      <c r="D39" s="2"/>
      <c r="E39" s="2"/>
      <c r="F39" s="2"/>
      <c r="G39" s="2"/>
      <c r="H39" s="2"/>
      <c r="I39" s="2"/>
      <c r="J39" s="2"/>
    </row>
    <row r="40" spans="1:10" x14ac:dyDescent="0.2">
      <c r="A40" s="1" t="s">
        <v>6</v>
      </c>
      <c r="C40" s="2">
        <f t="shared" ref="C40" si="14">SUM(C37:C39)</f>
        <v>95.422184483980999</v>
      </c>
      <c r="D40" s="2">
        <f t="shared" ref="D40:J40" si="15">SUM(D37:D39)</f>
        <v>105.5116997665875</v>
      </c>
      <c r="E40" s="2">
        <f t="shared" si="15"/>
        <v>116.20719194304422</v>
      </c>
      <c r="F40" s="2">
        <f t="shared" si="15"/>
        <v>127.50866101335119</v>
      </c>
      <c r="G40" s="2">
        <f t="shared" si="15"/>
        <v>136.96190055741496</v>
      </c>
      <c r="H40" s="2">
        <f t="shared" si="15"/>
        <v>147.53619735510165</v>
      </c>
      <c r="I40" s="2">
        <f t="shared" si="15"/>
        <v>157.53481610363062</v>
      </c>
      <c r="J40" s="2">
        <f t="shared" si="15"/>
        <v>168.77568748455258</v>
      </c>
    </row>
    <row r="41" spans="1:10" x14ac:dyDescent="0.2">
      <c r="C41" s="2"/>
      <c r="D41" s="2"/>
      <c r="E41" s="2"/>
      <c r="F41" s="2"/>
      <c r="G41" s="2"/>
      <c r="H41" s="2"/>
      <c r="I41" s="2"/>
      <c r="J41" s="2"/>
    </row>
    <row r="42" spans="1:10" x14ac:dyDescent="0.2">
      <c r="A42" s="1" t="s">
        <v>57</v>
      </c>
      <c r="C42" s="2">
        <f>C40/90</f>
        <v>1.0602464942664556</v>
      </c>
      <c r="D42" s="2">
        <f t="shared" ref="D42:J42" si="16">D40/90</f>
        <v>1.1723522196287499</v>
      </c>
      <c r="E42" s="2">
        <f t="shared" si="16"/>
        <v>1.2911910215893803</v>
      </c>
      <c r="F42" s="2">
        <f t="shared" si="16"/>
        <v>1.4167629001483466</v>
      </c>
      <c r="G42" s="2">
        <f t="shared" si="16"/>
        <v>1.5217988950823884</v>
      </c>
      <c r="H42" s="2">
        <f t="shared" si="16"/>
        <v>1.6392910817233517</v>
      </c>
      <c r="I42" s="2">
        <f t="shared" si="16"/>
        <v>1.7503868455958957</v>
      </c>
      <c r="J42" s="2">
        <f t="shared" si="16"/>
        <v>1.8752854164950286</v>
      </c>
    </row>
    <row r="43" spans="1:10" x14ac:dyDescent="0.2">
      <c r="C43" s="2"/>
      <c r="D43" s="2"/>
      <c r="E43" s="2"/>
      <c r="F43" s="2"/>
      <c r="G43" s="2"/>
      <c r="H43" s="2"/>
      <c r="I43" s="2"/>
      <c r="J43" s="2"/>
    </row>
    <row r="44" spans="1:10" x14ac:dyDescent="0.2">
      <c r="A44" s="1" t="s">
        <v>58</v>
      </c>
      <c r="C44" s="2">
        <f>0.07+0.11</f>
        <v>0.18</v>
      </c>
      <c r="D44" s="2">
        <f t="shared" ref="D44:J44" si="17">0.07+0.11</f>
        <v>0.18</v>
      </c>
      <c r="E44" s="2">
        <f t="shared" si="17"/>
        <v>0.18</v>
      </c>
      <c r="F44" s="2">
        <f t="shared" si="17"/>
        <v>0.18</v>
      </c>
      <c r="G44" s="2">
        <f t="shared" si="17"/>
        <v>0.18</v>
      </c>
      <c r="H44" s="2">
        <f t="shared" si="17"/>
        <v>0.18</v>
      </c>
      <c r="I44" s="2">
        <f t="shared" si="17"/>
        <v>0.18</v>
      </c>
      <c r="J44" s="2">
        <f t="shared" si="17"/>
        <v>0.18</v>
      </c>
    </row>
    <row r="45" spans="1:10" x14ac:dyDescent="0.2">
      <c r="C45" s="2"/>
      <c r="D45" s="2"/>
      <c r="E45" s="2"/>
      <c r="F45" s="2"/>
      <c r="G45" s="2"/>
      <c r="H45" s="2"/>
      <c r="I45" s="2"/>
      <c r="J45" s="2"/>
    </row>
    <row r="46" spans="1:10" x14ac:dyDescent="0.2">
      <c r="A46" s="1" t="s">
        <v>59</v>
      </c>
      <c r="C46" s="2">
        <f>SUM(C42:C45)</f>
        <v>1.2402464942664555</v>
      </c>
      <c r="D46" s="2">
        <f t="shared" ref="D46:J46" si="18">SUM(D42:D45)</f>
        <v>1.3523522196287499</v>
      </c>
      <c r="E46" s="2">
        <f t="shared" si="18"/>
        <v>1.4711910215893802</v>
      </c>
      <c r="F46" s="2">
        <f t="shared" si="18"/>
        <v>1.5967629001483465</v>
      </c>
      <c r="G46" s="2">
        <f t="shared" si="18"/>
        <v>1.7017988950823884</v>
      </c>
      <c r="H46" s="2">
        <f t="shared" si="18"/>
        <v>1.8192910817233516</v>
      </c>
      <c r="I46" s="2">
        <f t="shared" si="18"/>
        <v>1.9303868455958957</v>
      </c>
      <c r="J46" s="2">
        <f t="shared" si="18"/>
        <v>2.0552854164950287</v>
      </c>
    </row>
    <row r="47" spans="1:10" s="6" customFormat="1" x14ac:dyDescent="0.2">
      <c r="C47" s="5"/>
      <c r="D47" s="5"/>
      <c r="E47" s="5"/>
      <c r="F47" s="5"/>
      <c r="G47" s="5"/>
      <c r="H47" s="5"/>
      <c r="I47" s="5"/>
      <c r="J47" s="5"/>
    </row>
    <row r="48" spans="1:10" x14ac:dyDescent="0.2">
      <c r="C48" s="2"/>
      <c r="D48" s="2"/>
      <c r="E48" s="2"/>
      <c r="F48" s="2"/>
      <c r="G48" s="2"/>
      <c r="H48" s="2"/>
      <c r="I48" s="2"/>
      <c r="J48" s="2"/>
    </row>
    <row r="49" spans="3:10" x14ac:dyDescent="0.2">
      <c r="C49" s="2"/>
      <c r="D49" s="2"/>
      <c r="E49" s="2"/>
      <c r="F49" s="2"/>
      <c r="G49" s="2"/>
      <c r="H49" s="2"/>
      <c r="I49" s="2"/>
      <c r="J49" s="2"/>
    </row>
    <row r="50" spans="3:10" x14ac:dyDescent="0.2">
      <c r="C50" s="2"/>
      <c r="D50" s="2"/>
      <c r="E50" s="2"/>
      <c r="F50" s="2"/>
      <c r="G50" s="2"/>
      <c r="H50" s="2"/>
      <c r="I50" s="2"/>
      <c r="J50" s="2"/>
    </row>
    <row r="51" spans="3:10" x14ac:dyDescent="0.2">
      <c r="C51" s="2"/>
      <c r="D51" s="2"/>
      <c r="E51" s="2"/>
      <c r="F51" s="2"/>
      <c r="G51" s="2"/>
      <c r="H51" s="2"/>
      <c r="I51" s="2"/>
      <c r="J51" s="2"/>
    </row>
    <row r="52" spans="3:10" x14ac:dyDescent="0.2">
      <c r="C52" s="2"/>
      <c r="D52" s="2"/>
      <c r="E52" s="2"/>
      <c r="F52" s="2"/>
      <c r="G52" s="2"/>
      <c r="H52" s="2"/>
      <c r="I52" s="2"/>
      <c r="J52" s="2"/>
    </row>
    <row r="53" spans="3:10" x14ac:dyDescent="0.2">
      <c r="C53" s="2"/>
      <c r="D53" s="2"/>
      <c r="E53" s="2"/>
      <c r="F53" s="2"/>
      <c r="G53" s="2"/>
      <c r="H53" s="2"/>
      <c r="I53" s="2"/>
      <c r="J53" s="2"/>
    </row>
    <row r="54" spans="3:10" x14ac:dyDescent="0.2">
      <c r="C54" s="2"/>
      <c r="D54" s="2"/>
      <c r="E54" s="2"/>
      <c r="F54" s="2"/>
      <c r="G54" s="2"/>
      <c r="H54" s="2"/>
      <c r="I54" s="2"/>
      <c r="J54" s="2"/>
    </row>
    <row r="55" spans="3:10" x14ac:dyDescent="0.2">
      <c r="C55" s="2"/>
      <c r="D55" s="2"/>
      <c r="E55" s="2"/>
      <c r="F55" s="2"/>
      <c r="G55" s="2"/>
      <c r="H55" s="2"/>
      <c r="I55" s="2"/>
      <c r="J55" s="2"/>
    </row>
    <row r="56" spans="3:10" x14ac:dyDescent="0.2">
      <c r="C56" s="2"/>
      <c r="D56" s="2"/>
      <c r="E56" s="2"/>
      <c r="F56" s="2"/>
      <c r="G56" s="2"/>
      <c r="H56" s="2"/>
      <c r="I56" s="2"/>
      <c r="J56" s="2"/>
    </row>
    <row r="57" spans="3:10" x14ac:dyDescent="0.2">
      <c r="C57" s="2"/>
      <c r="D57" s="2"/>
      <c r="E57" s="2"/>
      <c r="F57" s="2"/>
      <c r="G57" s="2"/>
      <c r="H57" s="2"/>
      <c r="I57" s="2"/>
      <c r="J57" s="2"/>
    </row>
    <row r="58" spans="3:10" x14ac:dyDescent="0.2">
      <c r="C58" s="2"/>
      <c r="D58" s="2"/>
      <c r="E58" s="2"/>
      <c r="F58" s="2"/>
      <c r="G58" s="2"/>
      <c r="H58" s="2"/>
      <c r="I58" s="2"/>
      <c r="J58" s="2"/>
    </row>
    <row r="59" spans="3:10" x14ac:dyDescent="0.2">
      <c r="C59" s="2"/>
      <c r="D59" s="2"/>
      <c r="E59" s="2"/>
      <c r="F59" s="2"/>
      <c r="G59" s="2"/>
      <c r="H59" s="2"/>
      <c r="I59" s="2"/>
      <c r="J59" s="2"/>
    </row>
    <row r="60" spans="3:10" x14ac:dyDescent="0.2">
      <c r="C60" s="2"/>
      <c r="D60" s="2"/>
      <c r="E60" s="2"/>
      <c r="F60" s="2"/>
      <c r="G60" s="2"/>
      <c r="H60" s="2"/>
      <c r="I60" s="2"/>
      <c r="J60" s="2"/>
    </row>
    <row r="61" spans="3:10" x14ac:dyDescent="0.2">
      <c r="C61" s="2"/>
      <c r="D61" s="2"/>
      <c r="E61" s="2"/>
      <c r="F61" s="2"/>
      <c r="G61" s="2"/>
      <c r="H61" s="2"/>
      <c r="I61" s="2"/>
      <c r="J61" s="2"/>
    </row>
    <row r="62" spans="3:10" x14ac:dyDescent="0.2">
      <c r="C62" s="2"/>
      <c r="D62" s="2"/>
      <c r="E62" s="2"/>
      <c r="F62" s="2"/>
      <c r="G62" s="2"/>
      <c r="H62" s="2"/>
      <c r="I62" s="2"/>
      <c r="J62" s="2"/>
    </row>
    <row r="63" spans="3:10" x14ac:dyDescent="0.2">
      <c r="C63" s="2"/>
      <c r="D63" s="2"/>
      <c r="E63" s="2"/>
      <c r="F63" s="2"/>
      <c r="G63" s="2"/>
      <c r="H63" s="2"/>
      <c r="I63" s="2"/>
      <c r="J63" s="2"/>
    </row>
    <row r="64" spans="3:10" x14ac:dyDescent="0.2">
      <c r="C64" s="2"/>
      <c r="D64" s="2"/>
      <c r="E64" s="2"/>
      <c r="F64" s="2"/>
      <c r="G64" s="2"/>
      <c r="H64" s="2"/>
      <c r="I64" s="2"/>
      <c r="J64" s="2"/>
    </row>
    <row r="65" spans="3:10" x14ac:dyDescent="0.2">
      <c r="C65" s="2"/>
      <c r="D65" s="2"/>
      <c r="E65" s="2"/>
      <c r="F65" s="2"/>
      <c r="G65" s="2"/>
      <c r="H65" s="2"/>
      <c r="I65" s="2"/>
      <c r="J65" s="2"/>
    </row>
    <row r="66" spans="3:10" x14ac:dyDescent="0.2">
      <c r="C66" s="10"/>
      <c r="D66" s="10"/>
      <c r="E66" s="10"/>
      <c r="F66" s="10"/>
      <c r="G66" s="10"/>
      <c r="H66" s="10"/>
      <c r="I66" s="10"/>
      <c r="J66" s="10"/>
    </row>
    <row r="67" spans="3:10" x14ac:dyDescent="0.2">
      <c r="C67" s="2"/>
      <c r="D67" s="2"/>
      <c r="E67" s="2"/>
      <c r="F67" s="2"/>
      <c r="G67" s="2"/>
      <c r="H67" s="2"/>
      <c r="I67" s="2"/>
      <c r="J67" s="2"/>
    </row>
    <row r="68" spans="3:10" x14ac:dyDescent="0.2">
      <c r="C68" s="10"/>
      <c r="D68" s="10"/>
      <c r="E68" s="10"/>
      <c r="F68" s="10"/>
      <c r="G68" s="10"/>
      <c r="H68" s="10"/>
      <c r="I68" s="10"/>
      <c r="J68" s="10"/>
    </row>
    <row r="69" spans="3:10" x14ac:dyDescent="0.2">
      <c r="C69" s="2"/>
      <c r="D69" s="2"/>
      <c r="E69" s="2"/>
      <c r="F69" s="2"/>
      <c r="G69" s="2"/>
      <c r="H69" s="2"/>
      <c r="I69" s="2"/>
      <c r="J69" s="2"/>
    </row>
    <row r="70" spans="3:10" x14ac:dyDescent="0.2">
      <c r="C70" s="10"/>
      <c r="D70" s="10"/>
      <c r="E70" s="10"/>
      <c r="F70" s="10"/>
      <c r="G70" s="10"/>
      <c r="H70" s="10"/>
      <c r="I70" s="10"/>
      <c r="J70" s="10"/>
    </row>
    <row r="71" spans="3:10" x14ac:dyDescent="0.2">
      <c r="C71" s="2"/>
      <c r="D71" s="2"/>
      <c r="E71" s="2"/>
      <c r="F71" s="2"/>
      <c r="G71" s="2"/>
      <c r="H71" s="2"/>
      <c r="I71" s="2"/>
      <c r="J71" s="2"/>
    </row>
    <row r="72" spans="3:10" x14ac:dyDescent="0.2">
      <c r="C72" s="2"/>
      <c r="D72" s="2"/>
      <c r="E72" s="2"/>
      <c r="F72" s="2"/>
      <c r="G72" s="2"/>
      <c r="H72" s="2"/>
      <c r="I72" s="2"/>
      <c r="J72" s="2"/>
    </row>
  </sheetData>
  <pageMargins left="0.39370078740157483" right="0.39370078740157483" top="0.39370078740157483" bottom="0.39370078740157483" header="0.39370078740157483" footer="0.39370078740157483"/>
  <pageSetup paperSize="9" scale="74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5F95A0-0BDD-4E52-8F39-4C8388D98A83}">
  <sheetPr>
    <pageSetUpPr fitToPage="1"/>
  </sheetPr>
  <dimension ref="A1:I72"/>
  <sheetViews>
    <sheetView topLeftCell="A7" zoomScaleNormal="100" workbookViewId="0">
      <selection activeCell="C10" sqref="C10"/>
    </sheetView>
  </sheetViews>
  <sheetFormatPr defaultColWidth="9.14453125" defaultRowHeight="15" x14ac:dyDescent="0.2"/>
  <cols>
    <col min="1" max="1" width="18.16015625" style="1" bestFit="1" customWidth="1"/>
    <col min="2" max="2" width="5.6484375" style="1" customWidth="1"/>
    <col min="3" max="9" width="17.21875" style="1" bestFit="1" customWidth="1"/>
    <col min="10" max="16384" width="9.14453125" style="1"/>
  </cols>
  <sheetData>
    <row r="1" spans="1:9" ht="30" customHeight="1" x14ac:dyDescent="0.2">
      <c r="A1" s="1" t="s">
        <v>28</v>
      </c>
      <c r="C1" s="9" t="s">
        <v>69</v>
      </c>
      <c r="D1" s="9" t="s">
        <v>69</v>
      </c>
      <c r="E1" s="9" t="s">
        <v>69</v>
      </c>
      <c r="F1" s="9"/>
      <c r="G1" s="9"/>
      <c r="H1" s="9"/>
      <c r="I1" s="9"/>
    </row>
    <row r="2" spans="1:9" x14ac:dyDescent="0.2">
      <c r="A2" s="1" t="s">
        <v>0</v>
      </c>
      <c r="C2" s="1" t="s">
        <v>68</v>
      </c>
      <c r="D2" s="1" t="s">
        <v>68</v>
      </c>
      <c r="E2" s="1" t="s">
        <v>68</v>
      </c>
    </row>
    <row r="3" spans="1:9" x14ac:dyDescent="0.2">
      <c r="A3" s="1" t="s">
        <v>1</v>
      </c>
      <c r="C3" s="1">
        <v>180</v>
      </c>
      <c r="D3" s="1">
        <v>180</v>
      </c>
      <c r="E3" s="1">
        <v>180</v>
      </c>
    </row>
    <row r="4" spans="1:9" x14ac:dyDescent="0.2">
      <c r="C4" s="1" t="s">
        <v>72</v>
      </c>
      <c r="D4" s="1" t="s">
        <v>73</v>
      </c>
      <c r="E4" s="1" t="s">
        <v>74</v>
      </c>
    </row>
    <row r="6" spans="1:9" x14ac:dyDescent="0.2">
      <c r="A6" s="1" t="s">
        <v>10</v>
      </c>
      <c r="C6" s="1">
        <v>24</v>
      </c>
      <c r="D6" s="1">
        <v>26</v>
      </c>
      <c r="E6" s="1">
        <v>28</v>
      </c>
    </row>
    <row r="7" spans="1:9" x14ac:dyDescent="0.2">
      <c r="A7" s="1" t="s">
        <v>12</v>
      </c>
      <c r="C7" s="1">
        <v>33.5</v>
      </c>
      <c r="D7" s="1">
        <v>34.5</v>
      </c>
      <c r="E7" s="1">
        <v>35.5</v>
      </c>
    </row>
    <row r="8" spans="1:9" x14ac:dyDescent="0.2">
      <c r="A8" s="1" t="s">
        <v>77</v>
      </c>
      <c r="C8" s="1">
        <v>10.25</v>
      </c>
      <c r="D8" s="1">
        <v>10.75</v>
      </c>
      <c r="E8" s="1">
        <v>11.25</v>
      </c>
    </row>
    <row r="10" spans="1:9" x14ac:dyDescent="0.2">
      <c r="A10" s="1" t="s">
        <v>14</v>
      </c>
      <c r="C10" s="7">
        <f>(C6+1)*(C7+C8+3)*2*2.54*2.54/10000*C3</f>
        <v>271.45107000000002</v>
      </c>
      <c r="D10" s="7">
        <f t="shared" ref="D10:E10" si="0">(D6+1)*(D7+D8+3)*2*2.54*2.54/10000*D3</f>
        <v>302.57358840000006</v>
      </c>
      <c r="E10" s="7">
        <f t="shared" si="0"/>
        <v>335.08965240000003</v>
      </c>
      <c r="F10" s="7"/>
      <c r="G10" s="7"/>
      <c r="H10" s="7"/>
      <c r="I10" s="7"/>
    </row>
    <row r="11" spans="1:9" x14ac:dyDescent="0.2">
      <c r="A11" s="1" t="s">
        <v>21</v>
      </c>
      <c r="C11" s="7">
        <v>6</v>
      </c>
      <c r="D11" s="7">
        <v>6</v>
      </c>
      <c r="E11" s="7">
        <v>6</v>
      </c>
      <c r="F11" s="7"/>
      <c r="G11" s="7"/>
      <c r="H11" s="7"/>
      <c r="I11" s="7"/>
    </row>
    <row r="12" spans="1:9" x14ac:dyDescent="0.2">
      <c r="A12" s="1" t="s">
        <v>13</v>
      </c>
      <c r="C12" s="7">
        <v>6</v>
      </c>
      <c r="D12" s="7">
        <v>6</v>
      </c>
      <c r="E12" s="7">
        <v>6</v>
      </c>
      <c r="F12" s="7"/>
      <c r="G12" s="7"/>
      <c r="H12" s="7"/>
      <c r="I12" s="7"/>
    </row>
    <row r="13" spans="1:9" x14ac:dyDescent="0.2">
      <c r="A13" s="1" t="s">
        <v>81</v>
      </c>
      <c r="C13" s="7"/>
      <c r="D13" s="7"/>
      <c r="E13" s="7"/>
      <c r="F13" s="7"/>
      <c r="G13" s="7"/>
      <c r="H13" s="7"/>
      <c r="I13" s="7"/>
    </row>
    <row r="14" spans="1:9" x14ac:dyDescent="0.2">
      <c r="A14" s="1" t="s">
        <v>82</v>
      </c>
      <c r="C14" s="7"/>
      <c r="D14" s="7"/>
      <c r="E14" s="7"/>
      <c r="F14" s="7"/>
      <c r="G14" s="7"/>
      <c r="H14" s="7"/>
      <c r="I14" s="7"/>
    </row>
    <row r="16" spans="1:9" x14ac:dyDescent="0.2">
      <c r="A16" s="1" t="s">
        <v>15</v>
      </c>
      <c r="C16" s="7">
        <f t="shared" ref="C16:E16" si="1">SUM(C10:C15)</f>
        <v>283.45107000000002</v>
      </c>
      <c r="D16" s="7">
        <f t="shared" si="1"/>
        <v>314.57358840000006</v>
      </c>
      <c r="E16" s="7">
        <f t="shared" si="1"/>
        <v>347.08965240000003</v>
      </c>
      <c r="F16" s="7"/>
      <c r="G16" s="7"/>
      <c r="H16" s="7"/>
      <c r="I16" s="7"/>
    </row>
    <row r="18" spans="1:9" x14ac:dyDescent="0.2">
      <c r="A18" s="1" t="s">
        <v>16</v>
      </c>
      <c r="C18" s="7">
        <v>160</v>
      </c>
      <c r="D18" s="7">
        <v>160</v>
      </c>
      <c r="E18" s="7">
        <v>160</v>
      </c>
      <c r="F18" s="7"/>
      <c r="G18" s="7"/>
      <c r="H18" s="7"/>
      <c r="I18" s="7"/>
    </row>
    <row r="19" spans="1:9" x14ac:dyDescent="0.2">
      <c r="A19" s="1" t="s">
        <v>7</v>
      </c>
      <c r="C19" s="7">
        <v>10</v>
      </c>
      <c r="D19" s="7">
        <v>10</v>
      </c>
      <c r="E19" s="7">
        <v>10</v>
      </c>
      <c r="F19" s="7"/>
      <c r="G19" s="7"/>
      <c r="H19" s="7"/>
      <c r="I19" s="7"/>
    </row>
    <row r="20" spans="1:9" x14ac:dyDescent="0.2">
      <c r="A20" s="1" t="s">
        <v>55</v>
      </c>
      <c r="C20" s="7">
        <v>12</v>
      </c>
      <c r="D20" s="7">
        <v>12</v>
      </c>
      <c r="E20" s="7">
        <v>12</v>
      </c>
      <c r="F20" s="7"/>
      <c r="G20" s="7"/>
      <c r="H20" s="7"/>
      <c r="I20" s="7"/>
    </row>
    <row r="21" spans="1:9" x14ac:dyDescent="0.2">
      <c r="A21" s="1" t="s">
        <v>38</v>
      </c>
      <c r="C21" s="7">
        <v>18</v>
      </c>
      <c r="D21" s="7">
        <v>18</v>
      </c>
      <c r="E21" s="7">
        <v>18</v>
      </c>
      <c r="F21" s="7"/>
      <c r="G21" s="7"/>
      <c r="H21" s="7"/>
      <c r="I21" s="7"/>
    </row>
    <row r="22" spans="1:9" x14ac:dyDescent="0.2">
      <c r="A22" s="1" t="s">
        <v>79</v>
      </c>
      <c r="C22" s="7"/>
      <c r="D22" s="7"/>
      <c r="E22" s="7"/>
      <c r="F22" s="7"/>
      <c r="G22" s="7"/>
      <c r="H22" s="7"/>
      <c r="I22" s="7"/>
    </row>
    <row r="23" spans="1:9" x14ac:dyDescent="0.2">
      <c r="A23" s="1" t="s">
        <v>8</v>
      </c>
      <c r="C23" s="7">
        <v>9</v>
      </c>
      <c r="D23" s="7">
        <v>9</v>
      </c>
      <c r="E23" s="7">
        <v>9</v>
      </c>
      <c r="F23" s="7"/>
      <c r="G23" s="7"/>
      <c r="H23" s="7"/>
      <c r="I23" s="7"/>
    </row>
    <row r="24" spans="1:9" x14ac:dyDescent="0.2">
      <c r="C24" s="7"/>
      <c r="D24" s="7"/>
      <c r="E24" s="7"/>
      <c r="F24" s="7"/>
      <c r="G24" s="7"/>
      <c r="H24" s="7"/>
      <c r="I24" s="7"/>
    </row>
    <row r="25" spans="1:9" x14ac:dyDescent="0.2">
      <c r="A25" s="1" t="s">
        <v>2</v>
      </c>
      <c r="C25" s="7">
        <f>SUM(C18:C23)</f>
        <v>209</v>
      </c>
      <c r="D25" s="7">
        <f t="shared" ref="D25:E25" si="2">SUM(D18:D23)</f>
        <v>209</v>
      </c>
      <c r="E25" s="7">
        <f t="shared" si="2"/>
        <v>209</v>
      </c>
      <c r="F25" s="7"/>
      <c r="G25" s="7"/>
      <c r="H25" s="7"/>
      <c r="I25" s="7"/>
    </row>
    <row r="26" spans="1:9" x14ac:dyDescent="0.2">
      <c r="A26" s="1" t="s">
        <v>32</v>
      </c>
      <c r="C26" s="7">
        <f>C25*3%</f>
        <v>6.27</v>
      </c>
      <c r="D26" s="7">
        <f t="shared" ref="D26:E26" si="3">D25*3%</f>
        <v>6.27</v>
      </c>
      <c r="E26" s="7">
        <f t="shared" si="3"/>
        <v>6.27</v>
      </c>
      <c r="F26" s="7"/>
      <c r="G26" s="7"/>
      <c r="H26" s="7"/>
      <c r="I26" s="7"/>
    </row>
    <row r="27" spans="1:9" x14ac:dyDescent="0.2">
      <c r="C27" s="7"/>
      <c r="D27" s="7"/>
      <c r="E27" s="7"/>
      <c r="F27" s="7"/>
      <c r="G27" s="7"/>
      <c r="H27" s="7"/>
      <c r="I27" s="7"/>
    </row>
    <row r="28" spans="1:9" s="8" customFormat="1" x14ac:dyDescent="0.2">
      <c r="A28" s="8" t="s">
        <v>3</v>
      </c>
      <c r="C28" s="7">
        <f t="shared" ref="C28:E28" si="4">SUM(C25:C27)</f>
        <v>215.27</v>
      </c>
      <c r="D28" s="7">
        <f t="shared" si="4"/>
        <v>215.27</v>
      </c>
      <c r="E28" s="7">
        <f t="shared" si="4"/>
        <v>215.27</v>
      </c>
      <c r="F28" s="7"/>
      <c r="G28" s="7"/>
      <c r="H28" s="7"/>
      <c r="I28" s="7"/>
    </row>
    <row r="29" spans="1:9" x14ac:dyDescent="0.2">
      <c r="C29" s="7"/>
      <c r="D29" s="7"/>
      <c r="E29" s="7"/>
      <c r="F29" s="7"/>
      <c r="G29" s="7"/>
      <c r="H29" s="7"/>
      <c r="I29" s="7"/>
    </row>
    <row r="30" spans="1:9" x14ac:dyDescent="0.2">
      <c r="A30" s="1" t="s">
        <v>4</v>
      </c>
      <c r="C30" s="2">
        <f>C28*C16/1000</f>
        <v>61.018511838900004</v>
      </c>
      <c r="D30" s="2">
        <f t="shared" ref="D30:E30" si="5">D28*D16/1000</f>
        <v>67.718256374868005</v>
      </c>
      <c r="E30" s="2">
        <f t="shared" si="5"/>
        <v>74.717989472148005</v>
      </c>
      <c r="F30" s="2"/>
      <c r="G30" s="2"/>
      <c r="H30" s="2"/>
      <c r="I30" s="2"/>
    </row>
    <row r="31" spans="1:9" x14ac:dyDescent="0.2">
      <c r="A31" s="1" t="s">
        <v>5</v>
      </c>
      <c r="C31" s="2">
        <v>12</v>
      </c>
      <c r="D31" s="2">
        <v>12</v>
      </c>
      <c r="E31" s="2">
        <v>12</v>
      </c>
      <c r="F31" s="2"/>
      <c r="G31" s="2"/>
      <c r="H31" s="2"/>
      <c r="I31" s="2"/>
    </row>
    <row r="32" spans="1:9" x14ac:dyDescent="0.2">
      <c r="A32" s="1" t="s">
        <v>56</v>
      </c>
      <c r="C32" s="2">
        <v>10</v>
      </c>
      <c r="D32" s="2">
        <v>10</v>
      </c>
      <c r="E32" s="2">
        <v>10</v>
      </c>
      <c r="F32" s="2"/>
      <c r="G32" s="2"/>
      <c r="H32" s="2"/>
      <c r="I32" s="2"/>
    </row>
    <row r="33" spans="1:9" x14ac:dyDescent="0.2">
      <c r="C33" s="2"/>
      <c r="D33" s="2"/>
      <c r="E33" s="2"/>
      <c r="F33" s="2"/>
      <c r="G33" s="2"/>
      <c r="H33" s="2"/>
      <c r="I33" s="2"/>
    </row>
    <row r="34" spans="1:9" x14ac:dyDescent="0.2">
      <c r="A34" s="1" t="s">
        <v>2</v>
      </c>
      <c r="C34" s="2">
        <f>SUM(C30:C33)</f>
        <v>83.018511838899997</v>
      </c>
      <c r="D34" s="2">
        <f t="shared" ref="D34:E34" si="6">SUM(D30:D33)</f>
        <v>89.718256374868005</v>
      </c>
      <c r="E34" s="2">
        <f t="shared" si="6"/>
        <v>96.717989472148005</v>
      </c>
      <c r="F34" s="2"/>
      <c r="G34" s="2"/>
      <c r="H34" s="2"/>
      <c r="I34" s="2"/>
    </row>
    <row r="35" spans="1:9" x14ac:dyDescent="0.2">
      <c r="A35" s="1" t="s">
        <v>19</v>
      </c>
      <c r="C35" s="2">
        <f t="shared" ref="C35:E35" si="7">C34*1%</f>
        <v>0.830185118389</v>
      </c>
      <c r="D35" s="2">
        <f t="shared" si="7"/>
        <v>0.89718256374868011</v>
      </c>
      <c r="E35" s="2">
        <f t="shared" si="7"/>
        <v>0.96717989472148003</v>
      </c>
      <c r="F35" s="2"/>
      <c r="G35" s="2"/>
      <c r="H35" s="2"/>
      <c r="I35" s="2"/>
    </row>
    <row r="36" spans="1:9" x14ac:dyDescent="0.2">
      <c r="C36" s="2"/>
      <c r="D36" s="2"/>
      <c r="E36" s="2"/>
      <c r="F36" s="2"/>
      <c r="G36" s="2"/>
      <c r="H36" s="2"/>
      <c r="I36" s="2"/>
    </row>
    <row r="37" spans="1:9" x14ac:dyDescent="0.2">
      <c r="A37" s="1" t="s">
        <v>2</v>
      </c>
      <c r="C37" s="2">
        <f t="shared" ref="C37:E37" si="8">SUM(C34:C36)</f>
        <v>83.848696957288993</v>
      </c>
      <c r="D37" s="2">
        <f t="shared" si="8"/>
        <v>90.615438938616691</v>
      </c>
      <c r="E37" s="2">
        <f t="shared" si="8"/>
        <v>97.685169366869488</v>
      </c>
      <c r="F37" s="2"/>
      <c r="G37" s="2"/>
      <c r="H37" s="2"/>
      <c r="I37" s="2"/>
    </row>
    <row r="38" spans="1:9" x14ac:dyDescent="0.2">
      <c r="A38" s="1" t="s">
        <v>42</v>
      </c>
      <c r="C38" s="2">
        <f>C37*20%</f>
        <v>16.769739391457801</v>
      </c>
      <c r="D38" s="2">
        <f t="shared" ref="D38:E38" si="9">D37*20%</f>
        <v>18.123087787723339</v>
      </c>
      <c r="E38" s="2">
        <f t="shared" si="9"/>
        <v>19.5370338733739</v>
      </c>
      <c r="F38" s="2"/>
      <c r="G38" s="2"/>
      <c r="H38" s="2"/>
      <c r="I38" s="2"/>
    </row>
    <row r="39" spans="1:9" x14ac:dyDescent="0.2">
      <c r="C39" s="2"/>
      <c r="D39" s="2"/>
      <c r="E39" s="2"/>
      <c r="F39" s="2"/>
      <c r="G39" s="2"/>
      <c r="H39" s="2"/>
      <c r="I39" s="2"/>
    </row>
    <row r="40" spans="1:9" x14ac:dyDescent="0.2">
      <c r="A40" s="1" t="s">
        <v>6</v>
      </c>
      <c r="C40" s="2">
        <f t="shared" ref="C40:E40" si="10">SUM(C37:C39)</f>
        <v>100.6184363487468</v>
      </c>
      <c r="D40" s="2">
        <f t="shared" si="10"/>
        <v>108.73852672634003</v>
      </c>
      <c r="E40" s="2">
        <f t="shared" si="10"/>
        <v>117.22220324024339</v>
      </c>
      <c r="F40" s="2"/>
      <c r="G40" s="2"/>
      <c r="H40" s="2"/>
      <c r="I40" s="2"/>
    </row>
    <row r="41" spans="1:9" x14ac:dyDescent="0.2">
      <c r="C41" s="2"/>
      <c r="D41" s="2"/>
      <c r="E41" s="2"/>
      <c r="F41" s="2"/>
      <c r="G41" s="2"/>
      <c r="H41" s="2"/>
      <c r="I41" s="2"/>
    </row>
    <row r="42" spans="1:9" x14ac:dyDescent="0.2">
      <c r="A42" s="1" t="s">
        <v>57</v>
      </c>
      <c r="C42" s="2">
        <f>C40/90</f>
        <v>1.1179826260971866</v>
      </c>
      <c r="D42" s="2">
        <f t="shared" ref="D42:E42" si="11">D40/90</f>
        <v>1.2082058525148891</v>
      </c>
      <c r="E42" s="2">
        <f t="shared" si="11"/>
        <v>1.3024689248915933</v>
      </c>
      <c r="F42" s="2"/>
      <c r="G42" s="2"/>
      <c r="H42" s="2"/>
      <c r="I42" s="2"/>
    </row>
    <row r="43" spans="1:9" x14ac:dyDescent="0.2">
      <c r="C43" s="2"/>
      <c r="D43" s="2"/>
      <c r="E43" s="2"/>
      <c r="F43" s="2"/>
      <c r="G43" s="2"/>
      <c r="H43" s="2"/>
      <c r="I43" s="2"/>
    </row>
    <row r="44" spans="1:9" x14ac:dyDescent="0.2">
      <c r="A44" s="1" t="s">
        <v>58</v>
      </c>
      <c r="C44" s="2">
        <f>0.07+0.11</f>
        <v>0.18</v>
      </c>
      <c r="D44" s="2">
        <f t="shared" ref="D44:E44" si="12">0.07+0.11</f>
        <v>0.18</v>
      </c>
      <c r="E44" s="2">
        <f t="shared" si="12"/>
        <v>0.18</v>
      </c>
      <c r="F44" s="2"/>
      <c r="G44" s="2"/>
      <c r="H44" s="2"/>
      <c r="I44" s="2"/>
    </row>
    <row r="45" spans="1:9" x14ac:dyDescent="0.2">
      <c r="C45" s="2"/>
      <c r="D45" s="2"/>
      <c r="E45" s="2"/>
      <c r="F45" s="2"/>
      <c r="G45" s="2"/>
      <c r="H45" s="2"/>
      <c r="I45" s="2"/>
    </row>
    <row r="46" spans="1:9" x14ac:dyDescent="0.2">
      <c r="A46" s="1" t="s">
        <v>59</v>
      </c>
      <c r="C46" s="2">
        <f>SUM(C42:C45)</f>
        <v>1.2979826260971865</v>
      </c>
      <c r="D46" s="2">
        <f t="shared" ref="D46:E46" si="13">SUM(D42:D45)</f>
        <v>1.388205852514889</v>
      </c>
      <c r="E46" s="2">
        <f t="shared" si="13"/>
        <v>1.4824689248915932</v>
      </c>
      <c r="F46" s="2"/>
      <c r="G46" s="2"/>
      <c r="H46" s="2"/>
      <c r="I46" s="2"/>
    </row>
    <row r="47" spans="1:9" s="6" customFormat="1" x14ac:dyDescent="0.2">
      <c r="C47" s="5"/>
      <c r="D47" s="5"/>
      <c r="E47" s="5"/>
      <c r="F47" s="5"/>
      <c r="G47" s="5"/>
      <c r="H47" s="5"/>
      <c r="I47" s="5"/>
    </row>
    <row r="48" spans="1:9" x14ac:dyDescent="0.2">
      <c r="C48" s="2"/>
      <c r="D48" s="2"/>
      <c r="E48" s="2"/>
      <c r="F48" s="2"/>
      <c r="G48" s="2"/>
      <c r="H48" s="2"/>
      <c r="I48" s="2"/>
    </row>
    <row r="49" spans="3:9" x14ac:dyDescent="0.2">
      <c r="C49" s="2"/>
      <c r="D49" s="2"/>
      <c r="E49" s="2"/>
      <c r="F49" s="2"/>
      <c r="G49" s="2"/>
      <c r="H49" s="2"/>
      <c r="I49" s="2"/>
    </row>
    <row r="50" spans="3:9" x14ac:dyDescent="0.2">
      <c r="C50" s="2"/>
      <c r="D50" s="2"/>
      <c r="E50" s="2"/>
      <c r="F50" s="2"/>
      <c r="G50" s="2"/>
      <c r="H50" s="2"/>
      <c r="I50" s="2"/>
    </row>
    <row r="51" spans="3:9" x14ac:dyDescent="0.2">
      <c r="C51" s="2"/>
      <c r="D51" s="2"/>
      <c r="E51" s="2"/>
      <c r="F51" s="2"/>
      <c r="G51" s="2"/>
      <c r="H51" s="2"/>
      <c r="I51" s="2"/>
    </row>
    <row r="52" spans="3:9" x14ac:dyDescent="0.2">
      <c r="C52" s="2"/>
      <c r="D52" s="2"/>
      <c r="E52" s="2"/>
      <c r="F52" s="2"/>
      <c r="G52" s="2"/>
      <c r="H52" s="2"/>
      <c r="I52" s="2"/>
    </row>
    <row r="53" spans="3:9" x14ac:dyDescent="0.2">
      <c r="C53" s="2"/>
      <c r="D53" s="2"/>
      <c r="E53" s="2"/>
      <c r="F53" s="2"/>
      <c r="G53" s="2"/>
      <c r="H53" s="2"/>
      <c r="I53" s="2"/>
    </row>
    <row r="54" spans="3:9" x14ac:dyDescent="0.2">
      <c r="C54" s="2"/>
      <c r="D54" s="2"/>
      <c r="E54" s="2"/>
      <c r="F54" s="2"/>
      <c r="G54" s="2"/>
      <c r="H54" s="2"/>
      <c r="I54" s="2"/>
    </row>
    <row r="55" spans="3:9" x14ac:dyDescent="0.2">
      <c r="C55" s="2"/>
      <c r="D55" s="2"/>
      <c r="E55" s="2"/>
      <c r="F55" s="2"/>
      <c r="G55" s="2"/>
      <c r="H55" s="2"/>
      <c r="I55" s="2"/>
    </row>
    <row r="56" spans="3:9" x14ac:dyDescent="0.2">
      <c r="C56" s="2"/>
      <c r="D56" s="2"/>
      <c r="E56" s="2"/>
      <c r="F56" s="2"/>
      <c r="G56" s="2"/>
      <c r="H56" s="2"/>
      <c r="I56" s="2"/>
    </row>
    <row r="57" spans="3:9" x14ac:dyDescent="0.2">
      <c r="C57" s="2"/>
      <c r="D57" s="2"/>
    </row>
    <row r="58" spans="3:9" x14ac:dyDescent="0.2">
      <c r="C58" s="2"/>
      <c r="D58" s="2"/>
    </row>
    <row r="59" spans="3:9" x14ac:dyDescent="0.2">
      <c r="C59" s="2"/>
      <c r="D59" s="2"/>
    </row>
    <row r="60" spans="3:9" x14ac:dyDescent="0.2">
      <c r="C60" s="2"/>
      <c r="D60" s="2"/>
    </row>
    <row r="61" spans="3:9" x14ac:dyDescent="0.2">
      <c r="C61" s="2"/>
      <c r="D61" s="2"/>
    </row>
    <row r="62" spans="3:9" x14ac:dyDescent="0.2">
      <c r="C62" s="2"/>
      <c r="D62" s="2"/>
    </row>
    <row r="63" spans="3:9" x14ac:dyDescent="0.2">
      <c r="C63" s="2"/>
      <c r="D63" s="2"/>
    </row>
    <row r="64" spans="3:9" x14ac:dyDescent="0.2">
      <c r="C64" s="2"/>
      <c r="D64" s="2"/>
    </row>
    <row r="65" spans="3:4" x14ac:dyDescent="0.2">
      <c r="C65" s="2"/>
      <c r="D65" s="2"/>
    </row>
    <row r="66" spans="3:4" x14ac:dyDescent="0.2">
      <c r="C66" s="10"/>
      <c r="D66" s="10"/>
    </row>
    <row r="67" spans="3:4" x14ac:dyDescent="0.2">
      <c r="C67" s="2"/>
      <c r="D67" s="2"/>
    </row>
    <row r="68" spans="3:4" x14ac:dyDescent="0.2">
      <c r="C68" s="10"/>
      <c r="D68" s="10"/>
    </row>
    <row r="69" spans="3:4" x14ac:dyDescent="0.2">
      <c r="C69" s="2"/>
      <c r="D69" s="2"/>
    </row>
    <row r="70" spans="3:4" x14ac:dyDescent="0.2">
      <c r="C70" s="10"/>
      <c r="D70" s="10"/>
    </row>
    <row r="71" spans="3:4" x14ac:dyDescent="0.2">
      <c r="C71" s="2"/>
      <c r="D71" s="2"/>
    </row>
    <row r="72" spans="3:4" x14ac:dyDescent="0.2">
      <c r="C72" s="2"/>
      <c r="D72" s="2"/>
    </row>
  </sheetData>
  <pageMargins left="0.39370078740157483" right="0.39370078740157483" top="0.39370078740157483" bottom="0.39370078740157483" header="0.39370078740157483" footer="0.39370078740157483"/>
  <pageSetup paperSize="9" scale="74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525E1D-808B-44DC-9AA2-D5B8C6B02D1B}">
  <sheetPr>
    <pageSetUpPr fitToPage="1"/>
  </sheetPr>
  <dimension ref="A1:I72"/>
  <sheetViews>
    <sheetView topLeftCell="A5" zoomScaleNormal="100" workbookViewId="0">
      <selection activeCell="C24" sqref="C24"/>
    </sheetView>
  </sheetViews>
  <sheetFormatPr defaultColWidth="9.14453125" defaultRowHeight="15" x14ac:dyDescent="0.2"/>
  <cols>
    <col min="1" max="1" width="18.16015625" style="1" bestFit="1" customWidth="1"/>
    <col min="2" max="2" width="5.6484375" style="1" customWidth="1"/>
    <col min="3" max="9" width="17.21875" style="1" bestFit="1" customWidth="1"/>
    <col min="10" max="16384" width="9.14453125" style="1"/>
  </cols>
  <sheetData>
    <row r="1" spans="1:9" ht="30" customHeight="1" x14ac:dyDescent="0.2">
      <c r="A1" s="1" t="s">
        <v>28</v>
      </c>
      <c r="C1" s="9" t="s">
        <v>69</v>
      </c>
      <c r="D1" s="9" t="s">
        <v>69</v>
      </c>
      <c r="E1" s="9" t="s">
        <v>69</v>
      </c>
      <c r="F1" s="9" t="s">
        <v>69</v>
      </c>
      <c r="G1" s="9" t="s">
        <v>69</v>
      </c>
      <c r="H1" s="9"/>
      <c r="I1" s="9"/>
    </row>
    <row r="2" spans="1:9" x14ac:dyDescent="0.2">
      <c r="A2" s="1" t="s">
        <v>0</v>
      </c>
      <c r="C2" s="1" t="s">
        <v>68</v>
      </c>
      <c r="D2" s="1" t="s">
        <v>68</v>
      </c>
      <c r="E2" s="1" t="s">
        <v>68</v>
      </c>
      <c r="F2" s="1" t="s">
        <v>68</v>
      </c>
      <c r="G2" s="1" t="s">
        <v>68</v>
      </c>
    </row>
    <row r="3" spans="1:9" x14ac:dyDescent="0.2">
      <c r="A3" s="1" t="s">
        <v>1</v>
      </c>
      <c r="C3" s="1">
        <v>180</v>
      </c>
      <c r="D3" s="1">
        <v>180</v>
      </c>
      <c r="E3" s="1">
        <v>180</v>
      </c>
      <c r="F3" s="1">
        <v>180</v>
      </c>
      <c r="G3" s="1">
        <v>180</v>
      </c>
    </row>
    <row r="4" spans="1:9" x14ac:dyDescent="0.2">
      <c r="C4" s="1" t="s">
        <v>83</v>
      </c>
      <c r="D4" s="1" t="s">
        <v>84</v>
      </c>
      <c r="E4" s="1" t="s">
        <v>85</v>
      </c>
      <c r="F4" s="1" t="s">
        <v>86</v>
      </c>
      <c r="G4" s="1" t="s">
        <v>26</v>
      </c>
    </row>
    <row r="6" spans="1:9" x14ac:dyDescent="0.2">
      <c r="A6" s="1" t="s">
        <v>10</v>
      </c>
      <c r="C6" s="1">
        <v>12.5</v>
      </c>
      <c r="D6" s="1">
        <v>14</v>
      </c>
      <c r="E6" s="1">
        <v>15</v>
      </c>
      <c r="F6" s="1">
        <v>16</v>
      </c>
      <c r="G6" s="1">
        <v>17.5</v>
      </c>
    </row>
    <row r="7" spans="1:9" x14ac:dyDescent="0.2">
      <c r="A7" s="1" t="s">
        <v>12</v>
      </c>
      <c r="C7" s="1">
        <v>18</v>
      </c>
      <c r="D7" s="1">
        <v>19</v>
      </c>
      <c r="E7" s="1">
        <v>20.5</v>
      </c>
      <c r="F7" s="1">
        <v>22.5</v>
      </c>
      <c r="G7" s="1">
        <v>25</v>
      </c>
    </row>
    <row r="8" spans="1:9" x14ac:dyDescent="0.2">
      <c r="A8" s="1" t="s">
        <v>77</v>
      </c>
      <c r="C8" s="1">
        <v>5</v>
      </c>
      <c r="D8" s="1">
        <v>5.75</v>
      </c>
      <c r="E8" s="1">
        <v>6</v>
      </c>
      <c r="F8" s="1">
        <v>6.25</v>
      </c>
      <c r="G8" s="1">
        <v>7</v>
      </c>
    </row>
    <row r="10" spans="1:9" x14ac:dyDescent="0.2">
      <c r="A10" s="1" t="s">
        <v>14</v>
      </c>
      <c r="C10" s="7">
        <f>(C6+1)*(C7+C8+3)*2*2.54*2.54/10000*C3</f>
        <v>81.522417599999997</v>
      </c>
      <c r="D10" s="7">
        <f t="shared" ref="D10:G10" si="0">(D6+1)*(D7+D8+3)*2*2.54*2.54/10000*D3</f>
        <v>96.677226000000019</v>
      </c>
      <c r="E10" s="7">
        <f t="shared" si="0"/>
        <v>109.62558720000001</v>
      </c>
      <c r="F10" s="7">
        <f t="shared" si="0"/>
        <v>125.3610396</v>
      </c>
      <c r="G10" s="7">
        <f t="shared" si="0"/>
        <v>150.386796</v>
      </c>
      <c r="H10" s="7"/>
      <c r="I10" s="7"/>
    </row>
    <row r="11" spans="1:9" x14ac:dyDescent="0.2">
      <c r="A11" s="1" t="s">
        <v>21</v>
      </c>
      <c r="C11" s="7">
        <v>6</v>
      </c>
      <c r="D11" s="7">
        <v>6</v>
      </c>
      <c r="E11" s="7">
        <v>6</v>
      </c>
      <c r="F11" s="7">
        <v>6</v>
      </c>
      <c r="G11" s="7">
        <v>6</v>
      </c>
      <c r="H11" s="7"/>
      <c r="I11" s="7"/>
    </row>
    <row r="12" spans="1:9" x14ac:dyDescent="0.2">
      <c r="A12" s="1" t="s">
        <v>13</v>
      </c>
      <c r="C12" s="7">
        <v>6</v>
      </c>
      <c r="D12" s="7">
        <v>6</v>
      </c>
      <c r="E12" s="7">
        <v>6</v>
      </c>
      <c r="F12" s="7">
        <v>6</v>
      </c>
      <c r="G12" s="7">
        <v>6</v>
      </c>
      <c r="H12" s="7"/>
      <c r="I12" s="7"/>
    </row>
    <row r="13" spans="1:9" x14ac:dyDescent="0.2">
      <c r="A13" s="1" t="s">
        <v>81</v>
      </c>
      <c r="C13" s="7"/>
      <c r="D13" s="7"/>
      <c r="E13" s="7"/>
      <c r="F13" s="7"/>
      <c r="G13" s="7"/>
      <c r="H13" s="7"/>
      <c r="I13" s="7"/>
    </row>
    <row r="14" spans="1:9" x14ac:dyDescent="0.2">
      <c r="A14" s="1" t="s">
        <v>82</v>
      </c>
      <c r="C14" s="7"/>
      <c r="D14" s="7"/>
      <c r="E14" s="7"/>
      <c r="F14" s="7"/>
      <c r="G14" s="7"/>
      <c r="H14" s="7"/>
      <c r="I14" s="7"/>
    </row>
    <row r="16" spans="1:9" x14ac:dyDescent="0.2">
      <c r="A16" s="1" t="s">
        <v>15</v>
      </c>
      <c r="C16" s="7">
        <f t="shared" ref="C16:G16" si="1">SUM(C10:C15)</f>
        <v>93.522417599999997</v>
      </c>
      <c r="D16" s="7">
        <f t="shared" si="1"/>
        <v>108.67722600000002</v>
      </c>
      <c r="E16" s="7">
        <f t="shared" si="1"/>
        <v>121.62558720000001</v>
      </c>
      <c r="F16" s="7">
        <f t="shared" si="1"/>
        <v>137.3610396</v>
      </c>
      <c r="G16" s="7">
        <f t="shared" si="1"/>
        <v>162.386796</v>
      </c>
      <c r="H16" s="7"/>
      <c r="I16" s="7"/>
    </row>
    <row r="18" spans="1:9" x14ac:dyDescent="0.2">
      <c r="A18" s="1" t="s">
        <v>16</v>
      </c>
      <c r="C18" s="7">
        <v>160</v>
      </c>
      <c r="D18" s="7">
        <v>160</v>
      </c>
      <c r="E18" s="7">
        <v>160</v>
      </c>
      <c r="F18" s="7">
        <v>160</v>
      </c>
      <c r="G18" s="7">
        <v>160</v>
      </c>
      <c r="H18" s="7"/>
      <c r="I18" s="7"/>
    </row>
    <row r="19" spans="1:9" x14ac:dyDescent="0.2">
      <c r="A19" s="1" t="s">
        <v>7</v>
      </c>
      <c r="C19" s="7">
        <v>10</v>
      </c>
      <c r="D19" s="7">
        <v>10</v>
      </c>
      <c r="E19" s="7">
        <v>10</v>
      </c>
      <c r="F19" s="7">
        <v>10</v>
      </c>
      <c r="G19" s="7">
        <v>10</v>
      </c>
      <c r="H19" s="7"/>
      <c r="I19" s="7"/>
    </row>
    <row r="20" spans="1:9" x14ac:dyDescent="0.2">
      <c r="A20" s="1" t="s">
        <v>55</v>
      </c>
      <c r="C20" s="7">
        <v>12</v>
      </c>
      <c r="D20" s="7">
        <v>12</v>
      </c>
      <c r="E20" s="7">
        <v>12</v>
      </c>
      <c r="F20" s="7">
        <v>12</v>
      </c>
      <c r="G20" s="7">
        <v>12</v>
      </c>
      <c r="H20" s="7"/>
      <c r="I20" s="7"/>
    </row>
    <row r="21" spans="1:9" x14ac:dyDescent="0.2">
      <c r="A21" s="1" t="s">
        <v>38</v>
      </c>
      <c r="C21" s="7">
        <v>18</v>
      </c>
      <c r="D21" s="7">
        <v>18</v>
      </c>
      <c r="E21" s="7">
        <v>18</v>
      </c>
      <c r="F21" s="7">
        <v>18</v>
      </c>
      <c r="G21" s="7">
        <v>18</v>
      </c>
      <c r="H21" s="7"/>
      <c r="I21" s="7"/>
    </row>
    <row r="22" spans="1:9" x14ac:dyDescent="0.2">
      <c r="A22" s="1" t="s">
        <v>79</v>
      </c>
      <c r="C22" s="7"/>
      <c r="D22" s="7"/>
      <c r="E22" s="7"/>
      <c r="F22" s="7"/>
      <c r="G22" s="7"/>
      <c r="H22" s="7"/>
      <c r="I22" s="7"/>
    </row>
    <row r="23" spans="1:9" x14ac:dyDescent="0.2">
      <c r="A23" s="1" t="s">
        <v>8</v>
      </c>
      <c r="C23" s="7">
        <v>9</v>
      </c>
      <c r="D23" s="7">
        <v>9</v>
      </c>
      <c r="E23" s="7">
        <v>9</v>
      </c>
      <c r="F23" s="7">
        <v>9</v>
      </c>
      <c r="G23" s="7">
        <v>9</v>
      </c>
      <c r="H23" s="7"/>
      <c r="I23" s="7"/>
    </row>
    <row r="24" spans="1:9" x14ac:dyDescent="0.2">
      <c r="C24" s="7"/>
      <c r="D24" s="7"/>
      <c r="E24" s="7"/>
      <c r="F24" s="7"/>
      <c r="G24" s="7"/>
      <c r="H24" s="7"/>
      <c r="I24" s="7"/>
    </row>
    <row r="25" spans="1:9" x14ac:dyDescent="0.2">
      <c r="A25" s="1" t="s">
        <v>2</v>
      </c>
      <c r="C25" s="7">
        <f>SUM(C18:C23)</f>
        <v>209</v>
      </c>
      <c r="D25" s="7">
        <f t="shared" ref="D25:G25" si="2">SUM(D18:D23)</f>
        <v>209</v>
      </c>
      <c r="E25" s="7">
        <f t="shared" si="2"/>
        <v>209</v>
      </c>
      <c r="F25" s="7">
        <f t="shared" si="2"/>
        <v>209</v>
      </c>
      <c r="G25" s="7">
        <f t="shared" si="2"/>
        <v>209</v>
      </c>
      <c r="H25" s="7"/>
      <c r="I25" s="7"/>
    </row>
    <row r="26" spans="1:9" x14ac:dyDescent="0.2">
      <c r="A26" s="1" t="s">
        <v>32</v>
      </c>
      <c r="C26" s="7">
        <f>C25*3%</f>
        <v>6.27</v>
      </c>
      <c r="D26" s="7">
        <f t="shared" ref="D26:G26" si="3">D25*3%</f>
        <v>6.27</v>
      </c>
      <c r="E26" s="7">
        <f t="shared" si="3"/>
        <v>6.27</v>
      </c>
      <c r="F26" s="7">
        <f t="shared" si="3"/>
        <v>6.27</v>
      </c>
      <c r="G26" s="7">
        <f t="shared" si="3"/>
        <v>6.27</v>
      </c>
      <c r="H26" s="7"/>
      <c r="I26" s="7"/>
    </row>
    <row r="27" spans="1:9" x14ac:dyDescent="0.2">
      <c r="C27" s="7"/>
      <c r="D27" s="7"/>
      <c r="E27" s="7"/>
      <c r="F27" s="7"/>
      <c r="G27" s="7"/>
      <c r="H27" s="7"/>
      <c r="I27" s="7"/>
    </row>
    <row r="28" spans="1:9" s="8" customFormat="1" x14ac:dyDescent="0.2">
      <c r="A28" s="8" t="s">
        <v>3</v>
      </c>
      <c r="C28" s="7">
        <f t="shared" ref="C28:G28" si="4">SUM(C25:C27)</f>
        <v>215.27</v>
      </c>
      <c r="D28" s="7">
        <f t="shared" si="4"/>
        <v>215.27</v>
      </c>
      <c r="E28" s="7">
        <f t="shared" si="4"/>
        <v>215.27</v>
      </c>
      <c r="F28" s="7">
        <f t="shared" si="4"/>
        <v>215.27</v>
      </c>
      <c r="G28" s="7">
        <f t="shared" si="4"/>
        <v>215.27</v>
      </c>
      <c r="H28" s="7"/>
      <c r="I28" s="7"/>
    </row>
    <row r="29" spans="1:9" x14ac:dyDescent="0.2">
      <c r="C29" s="7"/>
      <c r="D29" s="7"/>
      <c r="E29" s="7"/>
      <c r="F29" s="7"/>
      <c r="G29" s="7"/>
      <c r="H29" s="7"/>
      <c r="I29" s="7"/>
    </row>
    <row r="30" spans="1:9" x14ac:dyDescent="0.2">
      <c r="A30" s="1" t="s">
        <v>4</v>
      </c>
      <c r="C30" s="2">
        <f>C28*C16/1000</f>
        <v>20.132570836752002</v>
      </c>
      <c r="D30" s="2">
        <f t="shared" ref="D30:G30" si="5">D28*D16/1000</f>
        <v>23.394946441020004</v>
      </c>
      <c r="E30" s="2">
        <f t="shared" si="5"/>
        <v>26.182340156544004</v>
      </c>
      <c r="F30" s="2">
        <f t="shared" si="5"/>
        <v>29.569710994692002</v>
      </c>
      <c r="G30" s="2">
        <f t="shared" si="5"/>
        <v>34.957005574920004</v>
      </c>
      <c r="H30" s="2"/>
      <c r="I30" s="2"/>
    </row>
    <row r="31" spans="1:9" x14ac:dyDescent="0.2">
      <c r="A31" s="1" t="s">
        <v>5</v>
      </c>
      <c r="C31" s="2">
        <v>12</v>
      </c>
      <c r="D31" s="2">
        <v>12</v>
      </c>
      <c r="E31" s="2">
        <v>12</v>
      </c>
      <c r="F31" s="2">
        <v>12</v>
      </c>
      <c r="G31" s="2">
        <v>12</v>
      </c>
      <c r="H31" s="2"/>
      <c r="I31" s="2"/>
    </row>
    <row r="32" spans="1:9" x14ac:dyDescent="0.2">
      <c r="A32" s="1" t="s">
        <v>56</v>
      </c>
      <c r="C32" s="2">
        <v>10</v>
      </c>
      <c r="D32" s="2">
        <v>10</v>
      </c>
      <c r="E32" s="2">
        <v>10</v>
      </c>
      <c r="F32" s="2">
        <v>10</v>
      </c>
      <c r="G32" s="2">
        <v>10</v>
      </c>
      <c r="H32" s="2"/>
      <c r="I32" s="2"/>
    </row>
    <row r="33" spans="1:9" x14ac:dyDescent="0.2">
      <c r="C33" s="2"/>
      <c r="D33" s="2"/>
      <c r="E33" s="2"/>
      <c r="F33" s="2"/>
      <c r="G33" s="2"/>
      <c r="H33" s="2"/>
      <c r="I33" s="2"/>
    </row>
    <row r="34" spans="1:9" x14ac:dyDescent="0.2">
      <c r="A34" s="1" t="s">
        <v>2</v>
      </c>
      <c r="C34" s="2">
        <f>SUM(C30:C33)</f>
        <v>42.132570836752002</v>
      </c>
      <c r="D34" s="2">
        <f t="shared" ref="D34:G34" si="6">SUM(D30:D33)</f>
        <v>45.394946441020004</v>
      </c>
      <c r="E34" s="2">
        <f t="shared" si="6"/>
        <v>48.182340156544001</v>
      </c>
      <c r="F34" s="2">
        <f t="shared" si="6"/>
        <v>51.569710994692002</v>
      </c>
      <c r="G34" s="2">
        <f t="shared" si="6"/>
        <v>56.957005574920004</v>
      </c>
      <c r="H34" s="2"/>
      <c r="I34" s="2"/>
    </row>
    <row r="35" spans="1:9" x14ac:dyDescent="0.2">
      <c r="A35" s="1" t="s">
        <v>19</v>
      </c>
      <c r="C35" s="2">
        <f t="shared" ref="C35:G35" si="7">C34*1%</f>
        <v>0.42132570836752004</v>
      </c>
      <c r="D35" s="2">
        <f t="shared" si="7"/>
        <v>0.45394946441020007</v>
      </c>
      <c r="E35" s="2">
        <f t="shared" si="7"/>
        <v>0.48182340156544001</v>
      </c>
      <c r="F35" s="2">
        <f t="shared" si="7"/>
        <v>0.51569710994692008</v>
      </c>
      <c r="G35" s="2">
        <f t="shared" si="7"/>
        <v>0.56957005574920005</v>
      </c>
      <c r="H35" s="2"/>
      <c r="I35" s="2"/>
    </row>
    <row r="36" spans="1:9" x14ac:dyDescent="0.2">
      <c r="C36" s="2"/>
      <c r="D36" s="2"/>
      <c r="E36" s="2"/>
      <c r="F36" s="2"/>
      <c r="G36" s="2"/>
      <c r="H36" s="2"/>
      <c r="I36" s="2"/>
    </row>
    <row r="37" spans="1:9" x14ac:dyDescent="0.2">
      <c r="A37" s="1" t="s">
        <v>2</v>
      </c>
      <c r="C37" s="2">
        <f t="shared" ref="C37:G37" si="8">SUM(C34:C36)</f>
        <v>42.553896545119521</v>
      </c>
      <c r="D37" s="2">
        <f t="shared" si="8"/>
        <v>45.848895905430204</v>
      </c>
      <c r="E37" s="2">
        <f t="shared" si="8"/>
        <v>48.664163558109443</v>
      </c>
      <c r="F37" s="2">
        <f t="shared" si="8"/>
        <v>52.085408104638923</v>
      </c>
      <c r="G37" s="2">
        <f t="shared" si="8"/>
        <v>57.526575630669207</v>
      </c>
      <c r="H37" s="2"/>
      <c r="I37" s="2"/>
    </row>
    <row r="38" spans="1:9" x14ac:dyDescent="0.2">
      <c r="A38" s="1" t="s">
        <v>42</v>
      </c>
      <c r="C38" s="2">
        <f>C37*20%</f>
        <v>8.5107793090239046</v>
      </c>
      <c r="D38" s="2">
        <f t="shared" ref="D38:G38" si="9">D37*20%</f>
        <v>9.1697791810860405</v>
      </c>
      <c r="E38" s="2">
        <f t="shared" si="9"/>
        <v>9.7328327116218887</v>
      </c>
      <c r="F38" s="2">
        <f t="shared" si="9"/>
        <v>10.417081620927785</v>
      </c>
      <c r="G38" s="2">
        <f t="shared" si="9"/>
        <v>11.505315126133842</v>
      </c>
      <c r="H38" s="2"/>
      <c r="I38" s="2"/>
    </row>
    <row r="39" spans="1:9" x14ac:dyDescent="0.2">
      <c r="C39" s="2"/>
      <c r="D39" s="2"/>
      <c r="E39" s="2"/>
      <c r="F39" s="2"/>
      <c r="G39" s="2"/>
      <c r="H39" s="2"/>
      <c r="I39" s="2"/>
    </row>
    <row r="40" spans="1:9" x14ac:dyDescent="0.2">
      <c r="A40" s="1" t="s">
        <v>6</v>
      </c>
      <c r="C40" s="2">
        <f t="shared" ref="C40:G40" si="10">SUM(C37:C39)</f>
        <v>51.064675854143424</v>
      </c>
      <c r="D40" s="2">
        <f t="shared" si="10"/>
        <v>55.018675086516247</v>
      </c>
      <c r="E40" s="2">
        <f t="shared" si="10"/>
        <v>58.396996269731332</v>
      </c>
      <c r="F40" s="2">
        <f t="shared" si="10"/>
        <v>62.502489725566704</v>
      </c>
      <c r="G40" s="2">
        <f t="shared" si="10"/>
        <v>69.031890756803051</v>
      </c>
      <c r="H40" s="2"/>
      <c r="I40" s="2"/>
    </row>
    <row r="41" spans="1:9" x14ac:dyDescent="0.2">
      <c r="C41" s="2"/>
      <c r="D41" s="2"/>
      <c r="E41" s="2"/>
      <c r="F41" s="2"/>
      <c r="G41" s="2"/>
      <c r="H41" s="2"/>
      <c r="I41" s="2"/>
    </row>
    <row r="42" spans="1:9" x14ac:dyDescent="0.2">
      <c r="A42" s="1" t="s">
        <v>57</v>
      </c>
      <c r="C42" s="2">
        <f>C40/90</f>
        <v>0.56738528726826032</v>
      </c>
      <c r="D42" s="2">
        <f t="shared" ref="D42:G42" si="11">D40/90</f>
        <v>0.61131861207240279</v>
      </c>
      <c r="E42" s="2">
        <f t="shared" si="11"/>
        <v>0.64885551410812592</v>
      </c>
      <c r="F42" s="2">
        <f t="shared" si="11"/>
        <v>0.69447210806185222</v>
      </c>
      <c r="G42" s="2">
        <f t="shared" si="11"/>
        <v>0.76702100840892284</v>
      </c>
      <c r="H42" s="2"/>
      <c r="I42" s="2"/>
    </row>
    <row r="43" spans="1:9" x14ac:dyDescent="0.2">
      <c r="C43" s="2"/>
      <c r="D43" s="2"/>
      <c r="E43" s="2"/>
      <c r="F43" s="2"/>
      <c r="G43" s="2"/>
      <c r="H43" s="2"/>
      <c r="I43" s="2"/>
    </row>
    <row r="44" spans="1:9" x14ac:dyDescent="0.2">
      <c r="A44" s="1" t="s">
        <v>58</v>
      </c>
      <c r="C44" s="2">
        <f>0.07+0.11</f>
        <v>0.18</v>
      </c>
      <c r="D44" s="2">
        <f t="shared" ref="D44:G44" si="12">0.07+0.11</f>
        <v>0.18</v>
      </c>
      <c r="E44" s="2">
        <f t="shared" si="12"/>
        <v>0.18</v>
      </c>
      <c r="F44" s="2">
        <f t="shared" si="12"/>
        <v>0.18</v>
      </c>
      <c r="G44" s="2">
        <f t="shared" si="12"/>
        <v>0.18</v>
      </c>
      <c r="H44" s="2"/>
      <c r="I44" s="2"/>
    </row>
    <row r="45" spans="1:9" x14ac:dyDescent="0.2">
      <c r="C45" s="2"/>
      <c r="D45" s="2"/>
      <c r="E45" s="2"/>
      <c r="F45" s="2"/>
      <c r="G45" s="2"/>
      <c r="H45" s="2"/>
      <c r="I45" s="2"/>
    </row>
    <row r="46" spans="1:9" x14ac:dyDescent="0.2">
      <c r="A46" s="1" t="s">
        <v>59</v>
      </c>
      <c r="C46" s="2">
        <f>SUM(C42:C45)</f>
        <v>0.74738528726826026</v>
      </c>
      <c r="D46" s="2">
        <f t="shared" ref="D46:G46" si="13">SUM(D42:D45)</f>
        <v>0.79131861207240273</v>
      </c>
      <c r="E46" s="2">
        <f t="shared" si="13"/>
        <v>0.82885551410812597</v>
      </c>
      <c r="F46" s="2">
        <f t="shared" si="13"/>
        <v>0.87447210806185227</v>
      </c>
      <c r="G46" s="2">
        <f t="shared" si="13"/>
        <v>0.94702100840892278</v>
      </c>
      <c r="H46" s="2"/>
      <c r="I46" s="2"/>
    </row>
    <row r="47" spans="1:9" s="6" customFormat="1" x14ac:dyDescent="0.2">
      <c r="C47" s="5"/>
      <c r="D47" s="5"/>
      <c r="E47" s="5"/>
      <c r="F47" s="5"/>
      <c r="G47" s="5"/>
      <c r="H47" s="5"/>
      <c r="I47" s="5"/>
    </row>
    <row r="48" spans="1:9" x14ac:dyDescent="0.2">
      <c r="C48" s="2"/>
      <c r="D48" s="2"/>
      <c r="E48" s="2"/>
      <c r="F48" s="2"/>
      <c r="G48" s="2"/>
      <c r="H48" s="2"/>
      <c r="I48" s="2"/>
    </row>
    <row r="49" spans="3:9" x14ac:dyDescent="0.2">
      <c r="C49" s="2"/>
      <c r="D49" s="2"/>
      <c r="E49" s="2"/>
      <c r="F49" s="2"/>
      <c r="G49" s="2"/>
      <c r="H49" s="2"/>
      <c r="I49" s="2"/>
    </row>
    <row r="50" spans="3:9" x14ac:dyDescent="0.2">
      <c r="C50" s="2"/>
      <c r="D50" s="2"/>
      <c r="E50" s="2"/>
      <c r="F50" s="2"/>
      <c r="G50" s="2"/>
      <c r="H50" s="2"/>
      <c r="I50" s="2"/>
    </row>
    <row r="51" spans="3:9" x14ac:dyDescent="0.2">
      <c r="C51" s="2"/>
      <c r="D51" s="2"/>
      <c r="E51" s="2"/>
      <c r="F51" s="2"/>
      <c r="G51" s="2"/>
      <c r="H51" s="2"/>
      <c r="I51" s="2"/>
    </row>
    <row r="52" spans="3:9" x14ac:dyDescent="0.2">
      <c r="C52" s="2"/>
      <c r="D52" s="2"/>
      <c r="E52" s="2"/>
      <c r="F52" s="2"/>
      <c r="G52" s="2"/>
      <c r="H52" s="2"/>
      <c r="I52" s="2"/>
    </row>
    <row r="53" spans="3:9" x14ac:dyDescent="0.2">
      <c r="C53" s="2"/>
      <c r="D53" s="2"/>
      <c r="E53" s="2"/>
      <c r="F53" s="2"/>
      <c r="G53" s="2"/>
      <c r="H53" s="2"/>
      <c r="I53" s="2"/>
    </row>
    <row r="54" spans="3:9" x14ac:dyDescent="0.2">
      <c r="C54" s="2"/>
      <c r="D54" s="2"/>
      <c r="E54" s="2"/>
      <c r="F54" s="2"/>
      <c r="G54" s="2"/>
      <c r="H54" s="2"/>
      <c r="I54" s="2"/>
    </row>
    <row r="55" spans="3:9" x14ac:dyDescent="0.2">
      <c r="C55" s="2"/>
      <c r="D55" s="2"/>
      <c r="E55" s="2"/>
      <c r="F55" s="2"/>
      <c r="G55" s="2"/>
      <c r="H55" s="2"/>
      <c r="I55" s="2"/>
    </row>
    <row r="56" spans="3:9" x14ac:dyDescent="0.2">
      <c r="C56" s="2"/>
      <c r="D56" s="2"/>
      <c r="E56" s="2"/>
      <c r="F56" s="2"/>
      <c r="G56" s="2"/>
      <c r="H56" s="2"/>
      <c r="I56" s="2"/>
    </row>
    <row r="57" spans="3:9" x14ac:dyDescent="0.2">
      <c r="C57" s="2"/>
      <c r="D57" s="2"/>
    </row>
    <row r="58" spans="3:9" x14ac:dyDescent="0.2">
      <c r="C58" s="2"/>
      <c r="D58" s="2"/>
    </row>
    <row r="59" spans="3:9" x14ac:dyDescent="0.2">
      <c r="C59" s="2"/>
      <c r="D59" s="2"/>
    </row>
    <row r="60" spans="3:9" x14ac:dyDescent="0.2">
      <c r="C60" s="2"/>
      <c r="D60" s="2"/>
    </row>
    <row r="61" spans="3:9" x14ac:dyDescent="0.2">
      <c r="C61" s="2"/>
      <c r="D61" s="2"/>
    </row>
    <row r="62" spans="3:9" x14ac:dyDescent="0.2">
      <c r="C62" s="2"/>
      <c r="D62" s="2"/>
    </row>
    <row r="63" spans="3:9" x14ac:dyDescent="0.2">
      <c r="C63" s="2"/>
      <c r="D63" s="2"/>
    </row>
    <row r="64" spans="3:9" x14ac:dyDescent="0.2">
      <c r="C64" s="2"/>
      <c r="D64" s="2"/>
    </row>
    <row r="65" spans="3:4" x14ac:dyDescent="0.2">
      <c r="C65" s="2"/>
      <c r="D65" s="2"/>
    </row>
    <row r="66" spans="3:4" x14ac:dyDescent="0.2">
      <c r="C66" s="10"/>
      <c r="D66" s="10"/>
    </row>
    <row r="67" spans="3:4" x14ac:dyDescent="0.2">
      <c r="C67" s="2"/>
      <c r="D67" s="2"/>
    </row>
    <row r="68" spans="3:4" x14ac:dyDescent="0.2">
      <c r="C68" s="10"/>
      <c r="D68" s="10"/>
    </row>
    <row r="69" spans="3:4" x14ac:dyDescent="0.2">
      <c r="C69" s="2"/>
      <c r="D69" s="2"/>
    </row>
    <row r="70" spans="3:4" x14ac:dyDescent="0.2">
      <c r="C70" s="10"/>
      <c r="D70" s="10"/>
    </row>
    <row r="71" spans="3:4" x14ac:dyDescent="0.2">
      <c r="C71" s="2"/>
      <c r="D71" s="2"/>
    </row>
    <row r="72" spans="3:4" x14ac:dyDescent="0.2">
      <c r="C72" s="2"/>
      <c r="D72" s="2"/>
    </row>
  </sheetData>
  <pageMargins left="0.39370078740157483" right="0.39370078740157483" top="0.39370078740157483" bottom="0.39370078740157483" header="0.39370078740157483" footer="0.39370078740157483"/>
  <pageSetup paperSize="9" scale="74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245E67-D13C-463F-A256-3FD9D3D1C161}">
  <sheetPr>
    <pageSetUpPr fitToPage="1"/>
  </sheetPr>
  <dimension ref="A1:I72"/>
  <sheetViews>
    <sheetView topLeftCell="A30" zoomScaleNormal="100" workbookViewId="0">
      <selection activeCell="A46" sqref="A46"/>
    </sheetView>
  </sheetViews>
  <sheetFormatPr defaultColWidth="9.14453125" defaultRowHeight="15" x14ac:dyDescent="0.2"/>
  <cols>
    <col min="1" max="1" width="18.16015625" style="1" bestFit="1" customWidth="1"/>
    <col min="2" max="2" width="5.6484375" style="1" customWidth="1"/>
    <col min="3" max="9" width="17.21875" style="1" bestFit="1" customWidth="1"/>
    <col min="10" max="16384" width="9.14453125" style="1"/>
  </cols>
  <sheetData>
    <row r="1" spans="1:9" ht="30" customHeight="1" x14ac:dyDescent="0.2">
      <c r="A1" s="1" t="s">
        <v>28</v>
      </c>
      <c r="C1" s="9" t="s">
        <v>80</v>
      </c>
      <c r="D1" s="9" t="s">
        <v>80</v>
      </c>
      <c r="E1" s="9" t="s">
        <v>80</v>
      </c>
      <c r="F1" s="9" t="s">
        <v>80</v>
      </c>
      <c r="G1" s="9" t="s">
        <v>80</v>
      </c>
      <c r="H1" s="9" t="s">
        <v>80</v>
      </c>
      <c r="I1" s="9" t="s">
        <v>80</v>
      </c>
    </row>
    <row r="2" spans="1:9" x14ac:dyDescent="0.2">
      <c r="A2" s="1" t="s">
        <v>0</v>
      </c>
      <c r="C2" s="1" t="s">
        <v>68</v>
      </c>
      <c r="D2" s="1" t="s">
        <v>68</v>
      </c>
      <c r="E2" s="1" t="s">
        <v>68</v>
      </c>
      <c r="F2" s="1" t="s">
        <v>68</v>
      </c>
      <c r="G2" s="1" t="s">
        <v>68</v>
      </c>
      <c r="H2" s="1" t="s">
        <v>68</v>
      </c>
      <c r="I2" s="1" t="s">
        <v>68</v>
      </c>
    </row>
    <row r="3" spans="1:9" x14ac:dyDescent="0.2">
      <c r="A3" s="1" t="s">
        <v>1</v>
      </c>
      <c r="C3" s="1">
        <v>280</v>
      </c>
      <c r="D3" s="1">
        <v>280</v>
      </c>
      <c r="E3" s="1">
        <v>280</v>
      </c>
      <c r="F3" s="1">
        <v>280</v>
      </c>
      <c r="G3" s="1">
        <v>280</v>
      </c>
      <c r="H3" s="1">
        <v>280</v>
      </c>
      <c r="I3" s="1">
        <v>280</v>
      </c>
    </row>
    <row r="4" spans="1:9" x14ac:dyDescent="0.2">
      <c r="C4" s="1" t="s">
        <v>70</v>
      </c>
      <c r="D4" s="1" t="s">
        <v>71</v>
      </c>
      <c r="E4" s="1" t="s">
        <v>72</v>
      </c>
      <c r="F4" s="1" t="s">
        <v>73</v>
      </c>
      <c r="G4" s="1" t="s">
        <v>74</v>
      </c>
      <c r="H4" s="1" t="s">
        <v>75</v>
      </c>
      <c r="I4" s="1" t="s">
        <v>76</v>
      </c>
    </row>
    <row r="6" spans="1:9" x14ac:dyDescent="0.2">
      <c r="A6" s="1" t="s">
        <v>10</v>
      </c>
      <c r="C6" s="1">
        <v>24</v>
      </c>
      <c r="D6" s="1">
        <v>25</v>
      </c>
      <c r="E6" s="1">
        <v>26</v>
      </c>
      <c r="F6" s="1">
        <v>28</v>
      </c>
      <c r="G6" s="1">
        <v>30</v>
      </c>
      <c r="H6" s="1">
        <v>32</v>
      </c>
      <c r="I6" s="1">
        <v>34</v>
      </c>
    </row>
    <row r="7" spans="1:9" x14ac:dyDescent="0.2">
      <c r="A7" s="1" t="s">
        <v>12</v>
      </c>
      <c r="C7" s="1">
        <v>31.5</v>
      </c>
      <c r="D7" s="1">
        <v>32.5</v>
      </c>
      <c r="E7" s="1">
        <v>33.5</v>
      </c>
      <c r="F7" s="1">
        <v>34.5</v>
      </c>
      <c r="G7" s="1">
        <v>35.5</v>
      </c>
      <c r="H7" s="1">
        <v>36.5</v>
      </c>
      <c r="I7" s="1">
        <v>37.5</v>
      </c>
    </row>
    <row r="8" spans="1:9" x14ac:dyDescent="0.2">
      <c r="A8" s="1" t="s">
        <v>77</v>
      </c>
      <c r="C8" s="1">
        <v>28</v>
      </c>
      <c r="D8" s="1">
        <v>28.5</v>
      </c>
      <c r="E8" s="1">
        <v>29</v>
      </c>
      <c r="F8" s="1">
        <v>29.5</v>
      </c>
      <c r="G8" s="1">
        <v>30</v>
      </c>
      <c r="H8" s="1">
        <v>30.5</v>
      </c>
      <c r="I8" s="1">
        <v>31</v>
      </c>
    </row>
    <row r="10" spans="1:9" x14ac:dyDescent="0.2">
      <c r="A10" s="1" t="s">
        <v>14</v>
      </c>
      <c r="C10" s="7">
        <f>(C6+1)*(C7+C8+3)*2*2.54*2.54/10000*C3</f>
        <v>564.5150000000001</v>
      </c>
      <c r="D10" s="7">
        <f t="shared" ref="D10:I10" si="0">(D6+1)*(D7+D8+3)*2*2.54*2.54/10000*D3</f>
        <v>601.18589439999994</v>
      </c>
      <c r="E10" s="7">
        <f t="shared" si="0"/>
        <v>638.94065759999989</v>
      </c>
      <c r="F10" s="7">
        <f t="shared" si="0"/>
        <v>701.98569280000004</v>
      </c>
      <c r="G10" s="7">
        <f t="shared" si="0"/>
        <v>767.19846560000008</v>
      </c>
      <c r="H10" s="7">
        <f t="shared" si="0"/>
        <v>834.57897600000001</v>
      </c>
      <c r="I10" s="7">
        <f t="shared" si="0"/>
        <v>904.12722400000007</v>
      </c>
    </row>
    <row r="11" spans="1:9" x14ac:dyDescent="0.2">
      <c r="A11" s="1" t="s">
        <v>21</v>
      </c>
      <c r="C11" s="7">
        <v>6</v>
      </c>
      <c r="D11" s="7">
        <v>6</v>
      </c>
      <c r="E11" s="7">
        <v>6</v>
      </c>
      <c r="F11" s="7">
        <v>6</v>
      </c>
      <c r="G11" s="7">
        <v>6</v>
      </c>
      <c r="H11" s="7">
        <v>6</v>
      </c>
      <c r="I11" s="7">
        <v>6</v>
      </c>
    </row>
    <row r="12" spans="1:9" x14ac:dyDescent="0.2">
      <c r="A12" s="1" t="s">
        <v>13</v>
      </c>
      <c r="C12" s="7">
        <v>75</v>
      </c>
      <c r="D12" s="7">
        <v>75</v>
      </c>
      <c r="E12" s="7">
        <v>75</v>
      </c>
      <c r="F12" s="7">
        <v>75</v>
      </c>
      <c r="G12" s="7">
        <v>75</v>
      </c>
      <c r="H12" s="7">
        <v>75</v>
      </c>
      <c r="I12" s="7">
        <v>75</v>
      </c>
    </row>
    <row r="13" spans="1:9" x14ac:dyDescent="0.2">
      <c r="A13" s="1" t="s">
        <v>81</v>
      </c>
      <c r="C13" s="7">
        <v>120</v>
      </c>
      <c r="D13" s="7">
        <v>120</v>
      </c>
      <c r="E13" s="7">
        <v>130</v>
      </c>
      <c r="F13" s="7">
        <v>130</v>
      </c>
      <c r="G13" s="7">
        <v>140</v>
      </c>
      <c r="H13" s="7">
        <v>140</v>
      </c>
      <c r="I13" s="7">
        <v>150</v>
      </c>
    </row>
    <row r="14" spans="1:9" x14ac:dyDescent="0.2">
      <c r="A14" s="1" t="s">
        <v>82</v>
      </c>
      <c r="C14" s="7">
        <v>35</v>
      </c>
      <c r="D14" s="7">
        <v>35</v>
      </c>
      <c r="E14" s="7">
        <v>35</v>
      </c>
      <c r="F14" s="7">
        <v>35</v>
      </c>
      <c r="G14" s="7">
        <v>40</v>
      </c>
      <c r="H14" s="7">
        <v>40</v>
      </c>
      <c r="I14" s="7">
        <v>40</v>
      </c>
    </row>
    <row r="16" spans="1:9" x14ac:dyDescent="0.2">
      <c r="A16" s="1" t="s">
        <v>15</v>
      </c>
      <c r="C16" s="7">
        <f t="shared" ref="C16:I16" si="1">SUM(C10:C15)</f>
        <v>800.5150000000001</v>
      </c>
      <c r="D16" s="7">
        <f t="shared" si="1"/>
        <v>837.18589439999994</v>
      </c>
      <c r="E16" s="7">
        <f t="shared" si="1"/>
        <v>884.94065759999989</v>
      </c>
      <c r="F16" s="7">
        <f t="shared" si="1"/>
        <v>947.98569280000004</v>
      </c>
      <c r="G16" s="7">
        <f t="shared" si="1"/>
        <v>1028.1984656</v>
      </c>
      <c r="H16" s="7">
        <f t="shared" si="1"/>
        <v>1095.578976</v>
      </c>
      <c r="I16" s="7">
        <f t="shared" si="1"/>
        <v>1175.1272240000001</v>
      </c>
    </row>
    <row r="18" spans="1:9" x14ac:dyDescent="0.2">
      <c r="A18" s="1" t="s">
        <v>16</v>
      </c>
      <c r="C18" s="7">
        <v>185</v>
      </c>
      <c r="D18" s="7">
        <v>185</v>
      </c>
      <c r="E18" s="7">
        <v>185</v>
      </c>
      <c r="F18" s="7">
        <v>185</v>
      </c>
      <c r="G18" s="7">
        <v>185</v>
      </c>
      <c r="H18" s="7">
        <v>185</v>
      </c>
      <c r="I18" s="7">
        <v>185</v>
      </c>
    </row>
    <row r="19" spans="1:9" x14ac:dyDescent="0.2">
      <c r="A19" s="1" t="s">
        <v>7</v>
      </c>
      <c r="C19" s="7">
        <v>14</v>
      </c>
      <c r="D19" s="7">
        <v>14</v>
      </c>
      <c r="E19" s="7">
        <v>14</v>
      </c>
      <c r="F19" s="7">
        <v>14</v>
      </c>
      <c r="G19" s="7">
        <v>14</v>
      </c>
      <c r="H19" s="7">
        <v>14</v>
      </c>
      <c r="I19" s="7">
        <v>14</v>
      </c>
    </row>
    <row r="20" spans="1:9" x14ac:dyDescent="0.2">
      <c r="A20" s="1" t="s">
        <v>55</v>
      </c>
      <c r="C20" s="7">
        <v>12</v>
      </c>
      <c r="D20" s="7">
        <v>12</v>
      </c>
      <c r="E20" s="7">
        <v>12</v>
      </c>
      <c r="F20" s="7">
        <v>12</v>
      </c>
      <c r="G20" s="7">
        <v>12</v>
      </c>
      <c r="H20" s="7">
        <v>12</v>
      </c>
      <c r="I20" s="7">
        <v>12</v>
      </c>
    </row>
    <row r="21" spans="1:9" x14ac:dyDescent="0.2">
      <c r="A21" s="1" t="s">
        <v>38</v>
      </c>
      <c r="C21" s="7">
        <v>18</v>
      </c>
      <c r="D21" s="7">
        <v>18</v>
      </c>
      <c r="E21" s="7">
        <v>18</v>
      </c>
      <c r="F21" s="7">
        <v>18</v>
      </c>
      <c r="G21" s="7">
        <v>18</v>
      </c>
      <c r="H21" s="7">
        <v>18</v>
      </c>
      <c r="I21" s="7">
        <v>18</v>
      </c>
    </row>
    <row r="22" spans="1:9" x14ac:dyDescent="0.2">
      <c r="A22" s="1" t="s">
        <v>79</v>
      </c>
      <c r="C22" s="7">
        <v>9</v>
      </c>
      <c r="D22" s="7">
        <v>9</v>
      </c>
      <c r="E22" s="7">
        <v>9</v>
      </c>
      <c r="F22" s="7">
        <v>9</v>
      </c>
      <c r="G22" s="7">
        <v>9</v>
      </c>
      <c r="H22" s="7">
        <v>9</v>
      </c>
      <c r="I22" s="7">
        <v>9</v>
      </c>
    </row>
    <row r="23" spans="1:9" x14ac:dyDescent="0.2">
      <c r="A23" s="1" t="s">
        <v>8</v>
      </c>
      <c r="C23" s="7">
        <v>9</v>
      </c>
      <c r="D23" s="7">
        <v>9</v>
      </c>
      <c r="E23" s="7">
        <v>9</v>
      </c>
      <c r="F23" s="7">
        <v>9</v>
      </c>
      <c r="G23" s="7">
        <v>9</v>
      </c>
      <c r="H23" s="7">
        <v>9</v>
      </c>
      <c r="I23" s="7">
        <v>9</v>
      </c>
    </row>
    <row r="24" spans="1:9" x14ac:dyDescent="0.2">
      <c r="C24" s="7"/>
      <c r="D24" s="7"/>
      <c r="E24" s="7"/>
      <c r="F24" s="7"/>
      <c r="G24" s="7"/>
      <c r="H24" s="7"/>
      <c r="I24" s="7"/>
    </row>
    <row r="25" spans="1:9" x14ac:dyDescent="0.2">
      <c r="A25" s="1" t="s">
        <v>2</v>
      </c>
      <c r="C25" s="7">
        <f>SUM(C18:C23)</f>
        <v>247</v>
      </c>
      <c r="D25" s="7">
        <f t="shared" ref="D25:I25" si="2">SUM(D18:D23)</f>
        <v>247</v>
      </c>
      <c r="E25" s="7">
        <f t="shared" si="2"/>
        <v>247</v>
      </c>
      <c r="F25" s="7">
        <f t="shared" si="2"/>
        <v>247</v>
      </c>
      <c r="G25" s="7">
        <f t="shared" si="2"/>
        <v>247</v>
      </c>
      <c r="H25" s="7">
        <f t="shared" si="2"/>
        <v>247</v>
      </c>
      <c r="I25" s="7">
        <f t="shared" si="2"/>
        <v>247</v>
      </c>
    </row>
    <row r="26" spans="1:9" x14ac:dyDescent="0.2">
      <c r="A26" s="1" t="s">
        <v>32</v>
      </c>
      <c r="C26" s="7">
        <f>C25*3%</f>
        <v>7.41</v>
      </c>
      <c r="D26" s="7">
        <f t="shared" ref="D26:I26" si="3">D25*3%</f>
        <v>7.41</v>
      </c>
      <c r="E26" s="7">
        <f t="shared" si="3"/>
        <v>7.41</v>
      </c>
      <c r="F26" s="7">
        <f t="shared" si="3"/>
        <v>7.41</v>
      </c>
      <c r="G26" s="7">
        <f t="shared" si="3"/>
        <v>7.41</v>
      </c>
      <c r="H26" s="7">
        <f t="shared" si="3"/>
        <v>7.41</v>
      </c>
      <c r="I26" s="7">
        <f t="shared" si="3"/>
        <v>7.41</v>
      </c>
    </row>
    <row r="27" spans="1:9" x14ac:dyDescent="0.2">
      <c r="C27" s="7"/>
      <c r="D27" s="7"/>
      <c r="E27" s="7"/>
      <c r="F27" s="7"/>
      <c r="G27" s="7"/>
      <c r="H27" s="7"/>
      <c r="I27" s="7"/>
    </row>
    <row r="28" spans="1:9" s="8" customFormat="1" x14ac:dyDescent="0.2">
      <c r="A28" s="8" t="s">
        <v>3</v>
      </c>
      <c r="C28" s="7">
        <f t="shared" ref="C28:I28" si="4">SUM(C25:C27)</f>
        <v>254.41</v>
      </c>
      <c r="D28" s="7">
        <f t="shared" si="4"/>
        <v>254.41</v>
      </c>
      <c r="E28" s="7">
        <f t="shared" si="4"/>
        <v>254.41</v>
      </c>
      <c r="F28" s="7">
        <f t="shared" si="4"/>
        <v>254.41</v>
      </c>
      <c r="G28" s="7">
        <f t="shared" si="4"/>
        <v>254.41</v>
      </c>
      <c r="H28" s="7">
        <f t="shared" si="4"/>
        <v>254.41</v>
      </c>
      <c r="I28" s="7">
        <f t="shared" si="4"/>
        <v>254.41</v>
      </c>
    </row>
    <row r="29" spans="1:9" x14ac:dyDescent="0.2">
      <c r="C29" s="7"/>
      <c r="D29" s="7"/>
      <c r="E29" s="7"/>
      <c r="F29" s="7"/>
      <c r="G29" s="7"/>
      <c r="H29" s="7"/>
      <c r="I29" s="7"/>
    </row>
    <row r="30" spans="1:9" x14ac:dyDescent="0.2">
      <c r="A30" s="1" t="s">
        <v>4</v>
      </c>
      <c r="C30" s="2">
        <f>C28*C16/1000</f>
        <v>203.65902115</v>
      </c>
      <c r="D30" s="2">
        <f t="shared" ref="D30:I30" si="5">D28*D16/1000</f>
        <v>212.98846339430398</v>
      </c>
      <c r="E30" s="2">
        <f t="shared" si="5"/>
        <v>225.13775270001597</v>
      </c>
      <c r="F30" s="2">
        <f t="shared" si="5"/>
        <v>241.17704010524801</v>
      </c>
      <c r="G30" s="2">
        <f t="shared" si="5"/>
        <v>261.58397163329602</v>
      </c>
      <c r="H30" s="2">
        <f t="shared" si="5"/>
        <v>278.72624728415997</v>
      </c>
      <c r="I30" s="2">
        <f t="shared" si="5"/>
        <v>298.96411705783999</v>
      </c>
    </row>
    <row r="31" spans="1:9" x14ac:dyDescent="0.2">
      <c r="A31" s="1" t="s">
        <v>5</v>
      </c>
      <c r="C31" s="2">
        <v>35</v>
      </c>
      <c r="D31" s="2">
        <v>35</v>
      </c>
      <c r="E31" s="2">
        <v>35</v>
      </c>
      <c r="F31" s="2">
        <v>35</v>
      </c>
      <c r="G31" s="2">
        <v>35</v>
      </c>
      <c r="H31" s="2">
        <v>35</v>
      </c>
      <c r="I31" s="2">
        <v>35</v>
      </c>
    </row>
    <row r="32" spans="1:9" x14ac:dyDescent="0.2">
      <c r="A32" s="1" t="s">
        <v>56</v>
      </c>
      <c r="C32" s="2">
        <v>10</v>
      </c>
      <c r="D32" s="2">
        <v>10</v>
      </c>
      <c r="E32" s="2">
        <v>10</v>
      </c>
      <c r="F32" s="2">
        <v>10</v>
      </c>
      <c r="G32" s="2">
        <v>10</v>
      </c>
      <c r="H32" s="2">
        <v>10</v>
      </c>
      <c r="I32" s="2">
        <v>10</v>
      </c>
    </row>
    <row r="33" spans="1:9" x14ac:dyDescent="0.2">
      <c r="C33" s="2"/>
      <c r="D33" s="2"/>
      <c r="E33" s="2"/>
      <c r="F33" s="2"/>
      <c r="G33" s="2"/>
      <c r="H33" s="2"/>
      <c r="I33" s="2"/>
    </row>
    <row r="34" spans="1:9" x14ac:dyDescent="0.2">
      <c r="A34" s="1" t="s">
        <v>2</v>
      </c>
      <c r="C34" s="2">
        <f>SUM(C30:C33)</f>
        <v>248.65902115</v>
      </c>
      <c r="D34" s="2">
        <f t="shared" ref="D34:I34" si="6">SUM(D30:D33)</f>
        <v>257.98846339430395</v>
      </c>
      <c r="E34" s="2">
        <f t="shared" si="6"/>
        <v>270.13775270001599</v>
      </c>
      <c r="F34" s="2">
        <f t="shared" si="6"/>
        <v>286.17704010524801</v>
      </c>
      <c r="G34" s="2">
        <f t="shared" si="6"/>
        <v>306.58397163329602</v>
      </c>
      <c r="H34" s="2">
        <f t="shared" si="6"/>
        <v>323.72624728415997</v>
      </c>
      <c r="I34" s="2">
        <f t="shared" si="6"/>
        <v>343.96411705783999</v>
      </c>
    </row>
    <row r="35" spans="1:9" x14ac:dyDescent="0.2">
      <c r="A35" s="1" t="s">
        <v>19</v>
      </c>
      <c r="C35" s="2">
        <f t="shared" ref="C35:I35" si="7">C34*1%</f>
        <v>2.4865902115000003</v>
      </c>
      <c r="D35" s="2">
        <f t="shared" si="7"/>
        <v>2.5798846339430397</v>
      </c>
      <c r="E35" s="2">
        <f t="shared" si="7"/>
        <v>2.7013775270001599</v>
      </c>
      <c r="F35" s="2">
        <f t="shared" si="7"/>
        <v>2.86177040105248</v>
      </c>
      <c r="G35" s="2">
        <f t="shared" si="7"/>
        <v>3.06583971633296</v>
      </c>
      <c r="H35" s="2">
        <f t="shared" si="7"/>
        <v>3.2372624728416</v>
      </c>
      <c r="I35" s="2">
        <f t="shared" si="7"/>
        <v>3.4396411705783998</v>
      </c>
    </row>
    <row r="36" spans="1:9" x14ac:dyDescent="0.2">
      <c r="C36" s="2"/>
      <c r="D36" s="2"/>
      <c r="E36" s="2"/>
      <c r="F36" s="2"/>
      <c r="G36" s="2"/>
      <c r="H36" s="2"/>
      <c r="I36" s="2"/>
    </row>
    <row r="37" spans="1:9" x14ac:dyDescent="0.2">
      <c r="A37" s="1" t="s">
        <v>2</v>
      </c>
      <c r="C37" s="2">
        <f t="shared" ref="C37:I37" si="8">SUM(C34:C36)</f>
        <v>251.14561136149999</v>
      </c>
      <c r="D37" s="2">
        <f t="shared" si="8"/>
        <v>260.56834802824699</v>
      </c>
      <c r="E37" s="2">
        <f t="shared" si="8"/>
        <v>272.83913022701614</v>
      </c>
      <c r="F37" s="2">
        <f t="shared" si="8"/>
        <v>289.03881050630048</v>
      </c>
      <c r="G37" s="2">
        <f t="shared" si="8"/>
        <v>309.64981134962898</v>
      </c>
      <c r="H37" s="2">
        <f t="shared" si="8"/>
        <v>326.96350975700159</v>
      </c>
      <c r="I37" s="2">
        <f t="shared" si="8"/>
        <v>347.40375822841838</v>
      </c>
    </row>
    <row r="38" spans="1:9" x14ac:dyDescent="0.2">
      <c r="A38" s="1" t="s">
        <v>42</v>
      </c>
      <c r="C38" s="2">
        <f>C37*20%</f>
        <v>50.229122272300003</v>
      </c>
      <c r="D38" s="2">
        <f t="shared" ref="D38:I38" si="9">D37*20%</f>
        <v>52.113669605649399</v>
      </c>
      <c r="E38" s="2">
        <f t="shared" si="9"/>
        <v>54.56782604540323</v>
      </c>
      <c r="F38" s="2">
        <f t="shared" si="9"/>
        <v>57.807762101260096</v>
      </c>
      <c r="G38" s="2">
        <f t="shared" si="9"/>
        <v>61.929962269925795</v>
      </c>
      <c r="H38" s="2">
        <f t="shared" si="9"/>
        <v>65.392701951400326</v>
      </c>
      <c r="I38" s="2">
        <f t="shared" si="9"/>
        <v>69.480751645683682</v>
      </c>
    </row>
    <row r="39" spans="1:9" x14ac:dyDescent="0.2">
      <c r="C39" s="2"/>
      <c r="D39" s="2"/>
      <c r="E39" s="2"/>
      <c r="F39" s="2"/>
      <c r="G39" s="2"/>
      <c r="H39" s="2"/>
      <c r="I39" s="2"/>
    </row>
    <row r="40" spans="1:9" x14ac:dyDescent="0.2">
      <c r="A40" s="1" t="s">
        <v>6</v>
      </c>
      <c r="C40" s="2">
        <f t="shared" ref="C40:I40" si="10">SUM(C37:C39)</f>
        <v>301.37473363380002</v>
      </c>
      <c r="D40" s="2">
        <f t="shared" si="10"/>
        <v>312.68201763389641</v>
      </c>
      <c r="E40" s="2">
        <f t="shared" si="10"/>
        <v>327.40695627241939</v>
      </c>
      <c r="F40" s="2">
        <f t="shared" si="10"/>
        <v>346.84657260756057</v>
      </c>
      <c r="G40" s="2">
        <f t="shared" si="10"/>
        <v>371.57977361955477</v>
      </c>
      <c r="H40" s="2">
        <f t="shared" si="10"/>
        <v>392.35621170840193</v>
      </c>
      <c r="I40" s="2">
        <f t="shared" si="10"/>
        <v>416.88450987410204</v>
      </c>
    </row>
    <row r="41" spans="1:9" x14ac:dyDescent="0.2">
      <c r="C41" s="2"/>
      <c r="D41" s="2"/>
      <c r="E41" s="2"/>
      <c r="F41" s="2"/>
      <c r="G41" s="2"/>
      <c r="H41" s="2"/>
      <c r="I41" s="2"/>
    </row>
    <row r="42" spans="1:9" x14ac:dyDescent="0.2">
      <c r="A42" s="1" t="s">
        <v>57</v>
      </c>
      <c r="C42" s="2">
        <f>C40/90</f>
        <v>3.3486081514866668</v>
      </c>
      <c r="D42" s="2">
        <f t="shared" ref="D42:I42" si="11">D40/90</f>
        <v>3.4742446403766269</v>
      </c>
      <c r="E42" s="2">
        <f t="shared" si="11"/>
        <v>3.6378550696935488</v>
      </c>
      <c r="F42" s="2">
        <f t="shared" si="11"/>
        <v>3.8538508067506729</v>
      </c>
      <c r="G42" s="2">
        <f t="shared" si="11"/>
        <v>4.1286641513283859</v>
      </c>
      <c r="H42" s="2">
        <f t="shared" si="11"/>
        <v>4.3595134634266879</v>
      </c>
      <c r="I42" s="2">
        <f t="shared" si="11"/>
        <v>4.6320501097122451</v>
      </c>
    </row>
    <row r="43" spans="1:9" x14ac:dyDescent="0.2">
      <c r="C43" s="2"/>
      <c r="D43" s="2"/>
      <c r="E43" s="2"/>
      <c r="F43" s="2"/>
      <c r="G43" s="2"/>
      <c r="H43" s="2"/>
      <c r="I43" s="2"/>
    </row>
    <row r="44" spans="1:9" x14ac:dyDescent="0.2">
      <c r="A44" s="1" t="s">
        <v>58</v>
      </c>
      <c r="C44" s="2">
        <f>0.07+0.11</f>
        <v>0.18</v>
      </c>
      <c r="D44" s="2">
        <f t="shared" ref="D44:I44" si="12">0.07+0.11</f>
        <v>0.18</v>
      </c>
      <c r="E44" s="2">
        <f t="shared" si="12"/>
        <v>0.18</v>
      </c>
      <c r="F44" s="2">
        <f t="shared" si="12"/>
        <v>0.18</v>
      </c>
      <c r="G44" s="2">
        <f t="shared" si="12"/>
        <v>0.18</v>
      </c>
      <c r="H44" s="2">
        <f t="shared" si="12"/>
        <v>0.18</v>
      </c>
      <c r="I44" s="2">
        <f t="shared" si="12"/>
        <v>0.18</v>
      </c>
    </row>
    <row r="45" spans="1:9" x14ac:dyDescent="0.2">
      <c r="C45" s="2"/>
      <c r="D45" s="2"/>
      <c r="E45" s="2"/>
      <c r="F45" s="2"/>
      <c r="G45" s="2"/>
      <c r="H45" s="2"/>
      <c r="I45" s="2"/>
    </row>
    <row r="46" spans="1:9" x14ac:dyDescent="0.2">
      <c r="A46" s="1" t="s">
        <v>59</v>
      </c>
      <c r="C46" s="2">
        <f>SUM(C42:C45)</f>
        <v>3.528608151486667</v>
      </c>
      <c r="D46" s="2">
        <f t="shared" ref="D46:I46" si="13">SUM(D42:D45)</f>
        <v>3.6542446403766271</v>
      </c>
      <c r="E46" s="2">
        <f t="shared" si="13"/>
        <v>3.8178550696935489</v>
      </c>
      <c r="F46" s="2">
        <f t="shared" si="13"/>
        <v>4.0338508067506726</v>
      </c>
      <c r="G46" s="2">
        <f t="shared" si="13"/>
        <v>4.3086641513283856</v>
      </c>
      <c r="H46" s="2">
        <f t="shared" si="13"/>
        <v>4.5395134634266876</v>
      </c>
      <c r="I46" s="2">
        <f t="shared" si="13"/>
        <v>4.8120501097122448</v>
      </c>
    </row>
    <row r="47" spans="1:9" s="6" customFormat="1" x14ac:dyDescent="0.2">
      <c r="C47" s="5"/>
      <c r="D47" s="5"/>
      <c r="E47" s="5"/>
      <c r="F47" s="5"/>
      <c r="G47" s="5"/>
      <c r="H47" s="5"/>
      <c r="I47" s="5"/>
    </row>
    <row r="48" spans="1:9" x14ac:dyDescent="0.2">
      <c r="C48" s="2"/>
      <c r="D48" s="2"/>
      <c r="E48" s="2"/>
      <c r="F48" s="2"/>
      <c r="G48" s="2"/>
      <c r="H48" s="2"/>
      <c r="I48" s="2"/>
    </row>
    <row r="49" spans="3:9" x14ac:dyDescent="0.2">
      <c r="C49" s="2"/>
      <c r="D49" s="2"/>
      <c r="E49" s="2"/>
      <c r="F49" s="2"/>
      <c r="G49" s="2"/>
      <c r="H49" s="2"/>
      <c r="I49" s="2"/>
    </row>
    <row r="50" spans="3:9" x14ac:dyDescent="0.2">
      <c r="C50" s="2"/>
      <c r="D50" s="2"/>
      <c r="E50" s="2"/>
      <c r="F50" s="2"/>
      <c r="G50" s="2"/>
      <c r="H50" s="2"/>
      <c r="I50" s="2"/>
    </row>
    <row r="51" spans="3:9" x14ac:dyDescent="0.2">
      <c r="C51" s="2"/>
      <c r="D51" s="2"/>
      <c r="E51" s="2"/>
      <c r="F51" s="2"/>
      <c r="G51" s="2"/>
      <c r="H51" s="2"/>
      <c r="I51" s="2"/>
    </row>
    <row r="52" spans="3:9" x14ac:dyDescent="0.2">
      <c r="C52" s="2"/>
      <c r="D52" s="2"/>
      <c r="E52" s="2"/>
      <c r="F52" s="2"/>
      <c r="G52" s="2"/>
      <c r="H52" s="2"/>
      <c r="I52" s="2"/>
    </row>
    <row r="53" spans="3:9" x14ac:dyDescent="0.2">
      <c r="C53" s="2"/>
      <c r="D53" s="2"/>
      <c r="E53" s="2"/>
      <c r="F53" s="2"/>
      <c r="G53" s="2"/>
      <c r="H53" s="2"/>
      <c r="I53" s="2"/>
    </row>
    <row r="54" spans="3:9" x14ac:dyDescent="0.2">
      <c r="C54" s="2"/>
      <c r="D54" s="2"/>
      <c r="E54" s="2"/>
      <c r="F54" s="2"/>
      <c r="G54" s="2"/>
      <c r="H54" s="2"/>
      <c r="I54" s="2"/>
    </row>
    <row r="55" spans="3:9" x14ac:dyDescent="0.2">
      <c r="C55" s="2"/>
      <c r="D55" s="2"/>
      <c r="E55" s="2"/>
      <c r="F55" s="2"/>
      <c r="G55" s="2"/>
      <c r="H55" s="2"/>
      <c r="I55" s="2"/>
    </row>
    <row r="56" spans="3:9" x14ac:dyDescent="0.2">
      <c r="C56" s="2"/>
      <c r="D56" s="2"/>
      <c r="E56" s="2"/>
      <c r="F56" s="2"/>
      <c r="G56" s="2"/>
      <c r="H56" s="2"/>
      <c r="I56" s="2"/>
    </row>
    <row r="57" spans="3:9" x14ac:dyDescent="0.2">
      <c r="C57" s="2"/>
      <c r="D57" s="2"/>
    </row>
    <row r="58" spans="3:9" x14ac:dyDescent="0.2">
      <c r="C58" s="2"/>
      <c r="D58" s="2"/>
    </row>
    <row r="59" spans="3:9" x14ac:dyDescent="0.2">
      <c r="C59" s="2"/>
      <c r="D59" s="2"/>
    </row>
    <row r="60" spans="3:9" x14ac:dyDescent="0.2">
      <c r="C60" s="2"/>
      <c r="D60" s="2"/>
    </row>
    <row r="61" spans="3:9" x14ac:dyDescent="0.2">
      <c r="C61" s="2"/>
      <c r="D61" s="2"/>
    </row>
    <row r="62" spans="3:9" x14ac:dyDescent="0.2">
      <c r="C62" s="2"/>
      <c r="D62" s="2"/>
    </row>
    <row r="63" spans="3:9" x14ac:dyDescent="0.2">
      <c r="C63" s="2"/>
      <c r="D63" s="2"/>
    </row>
    <row r="64" spans="3:9" x14ac:dyDescent="0.2">
      <c r="C64" s="2"/>
      <c r="D64" s="2"/>
    </row>
    <row r="65" spans="3:4" x14ac:dyDescent="0.2">
      <c r="C65" s="2"/>
      <c r="D65" s="2"/>
    </row>
    <row r="66" spans="3:4" x14ac:dyDescent="0.2">
      <c r="C66" s="10"/>
      <c r="D66" s="10"/>
    </row>
    <row r="67" spans="3:4" x14ac:dyDescent="0.2">
      <c r="C67" s="2"/>
      <c r="D67" s="2"/>
    </row>
    <row r="68" spans="3:4" x14ac:dyDescent="0.2">
      <c r="C68" s="10"/>
      <c r="D68" s="10"/>
    </row>
    <row r="69" spans="3:4" x14ac:dyDescent="0.2">
      <c r="C69" s="2"/>
      <c r="D69" s="2"/>
    </row>
    <row r="70" spans="3:4" x14ac:dyDescent="0.2">
      <c r="C70" s="10"/>
      <c r="D70" s="10"/>
    </row>
    <row r="71" spans="3:4" x14ac:dyDescent="0.2">
      <c r="C71" s="2"/>
      <c r="D71" s="2"/>
    </row>
    <row r="72" spans="3:4" x14ac:dyDescent="0.2">
      <c r="C72" s="2"/>
      <c r="D72" s="2"/>
    </row>
  </sheetData>
  <pageMargins left="0.39370078740157483" right="0.39370078740157483" top="0.39370078740157483" bottom="0.39370078740157483" header="0.39370078740157483" footer="0.39370078740157483"/>
  <pageSetup paperSize="9" scale="74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1BAF74-E2D8-46C4-8469-35DEC3E3A43B}">
  <sheetPr>
    <pageSetUpPr fitToPage="1"/>
  </sheetPr>
  <dimension ref="A1:J72"/>
  <sheetViews>
    <sheetView topLeftCell="A36" zoomScaleNormal="100" workbookViewId="0">
      <selection activeCell="I46" sqref="I46:J46"/>
    </sheetView>
  </sheetViews>
  <sheetFormatPr defaultColWidth="9.14453125" defaultRowHeight="15" x14ac:dyDescent="0.2"/>
  <cols>
    <col min="1" max="1" width="18.16015625" style="1" bestFit="1" customWidth="1"/>
    <col min="2" max="2" width="5.6484375" style="1" customWidth="1"/>
    <col min="3" max="10" width="17.21875" style="1" bestFit="1" customWidth="1"/>
    <col min="11" max="16384" width="9.14453125" style="1"/>
  </cols>
  <sheetData>
    <row r="1" spans="1:10" ht="30" customHeight="1" x14ac:dyDescent="0.2">
      <c r="A1" s="1" t="s">
        <v>28</v>
      </c>
      <c r="C1" s="9" t="s">
        <v>80</v>
      </c>
      <c r="D1" s="9" t="s">
        <v>80</v>
      </c>
      <c r="E1" s="9" t="s">
        <v>80</v>
      </c>
      <c r="F1" s="9" t="s">
        <v>80</v>
      </c>
      <c r="G1" s="9" t="s">
        <v>80</v>
      </c>
      <c r="H1" s="9" t="s">
        <v>80</v>
      </c>
      <c r="I1" s="9" t="s">
        <v>80</v>
      </c>
      <c r="J1" s="9" t="s">
        <v>80</v>
      </c>
    </row>
    <row r="2" spans="1:10" x14ac:dyDescent="0.2">
      <c r="A2" s="1" t="s">
        <v>0</v>
      </c>
      <c r="C2" s="1" t="s">
        <v>68</v>
      </c>
      <c r="D2" s="1" t="s">
        <v>68</v>
      </c>
      <c r="E2" s="1" t="s">
        <v>68</v>
      </c>
      <c r="F2" s="1" t="s">
        <v>68</v>
      </c>
      <c r="G2" s="1" t="s">
        <v>68</v>
      </c>
      <c r="H2" s="1" t="s">
        <v>68</v>
      </c>
      <c r="I2" s="1" t="s">
        <v>68</v>
      </c>
      <c r="J2" s="1" t="s">
        <v>68</v>
      </c>
    </row>
    <row r="3" spans="1:10" x14ac:dyDescent="0.2">
      <c r="A3" s="1" t="s">
        <v>1</v>
      </c>
      <c r="C3" s="1">
        <v>280</v>
      </c>
      <c r="D3" s="1">
        <v>280</v>
      </c>
      <c r="E3" s="1">
        <v>280</v>
      </c>
      <c r="F3" s="1">
        <v>280</v>
      </c>
      <c r="G3" s="1">
        <v>280</v>
      </c>
      <c r="H3" s="1">
        <v>280</v>
      </c>
      <c r="I3" s="1">
        <v>280</v>
      </c>
      <c r="J3" s="1">
        <v>280</v>
      </c>
    </row>
    <row r="4" spans="1:10" x14ac:dyDescent="0.2">
      <c r="C4" s="1" t="s">
        <v>60</v>
      </c>
      <c r="D4" s="1" t="s">
        <v>61</v>
      </c>
      <c r="E4" s="1" t="s">
        <v>78</v>
      </c>
      <c r="F4" s="1" t="s">
        <v>63</v>
      </c>
      <c r="G4" s="1" t="s">
        <v>64</v>
      </c>
      <c r="H4" s="1" t="s">
        <v>65</v>
      </c>
      <c r="I4" s="1" t="s">
        <v>66</v>
      </c>
      <c r="J4" s="1" t="s">
        <v>67</v>
      </c>
    </row>
    <row r="6" spans="1:10" x14ac:dyDescent="0.2">
      <c r="A6" s="1" t="s">
        <v>10</v>
      </c>
      <c r="C6" s="1">
        <v>26</v>
      </c>
      <c r="D6" s="1">
        <v>28</v>
      </c>
      <c r="E6" s="1">
        <v>30</v>
      </c>
      <c r="F6" s="1">
        <v>32</v>
      </c>
      <c r="G6" s="1">
        <v>34</v>
      </c>
      <c r="H6" s="1">
        <v>36</v>
      </c>
      <c r="I6" s="1">
        <v>38</v>
      </c>
      <c r="J6" s="1">
        <v>40</v>
      </c>
    </row>
    <row r="7" spans="1:10" x14ac:dyDescent="0.2">
      <c r="A7" s="1" t="s">
        <v>12</v>
      </c>
      <c r="C7" s="1">
        <v>31.5</v>
      </c>
      <c r="D7" s="1">
        <v>32.5</v>
      </c>
      <c r="E7" s="1">
        <v>33.5</v>
      </c>
      <c r="F7" s="1">
        <v>34.5</v>
      </c>
      <c r="G7" s="1">
        <v>35.5</v>
      </c>
      <c r="H7" s="1">
        <v>36.5</v>
      </c>
      <c r="I7" s="1">
        <v>37.5</v>
      </c>
      <c r="J7" s="1">
        <v>38.5</v>
      </c>
    </row>
    <row r="8" spans="1:10" x14ac:dyDescent="0.2">
      <c r="A8" s="1" t="s">
        <v>77</v>
      </c>
      <c r="C8" s="1">
        <v>27</v>
      </c>
      <c r="D8" s="1">
        <v>27.5</v>
      </c>
      <c r="E8" s="1">
        <v>28</v>
      </c>
      <c r="F8" s="1">
        <v>28.5</v>
      </c>
      <c r="G8" s="1">
        <v>29</v>
      </c>
      <c r="H8" s="1">
        <v>29.5</v>
      </c>
      <c r="I8" s="1">
        <v>30</v>
      </c>
      <c r="J8" s="1">
        <v>30.5</v>
      </c>
    </row>
    <row r="10" spans="1:10" x14ac:dyDescent="0.2">
      <c r="A10" s="1" t="s">
        <v>14</v>
      </c>
      <c r="C10" s="7">
        <f>(C6+1)*(C7+C8+3)*2*2.54*2.54/10000*C3</f>
        <v>599.92138080000007</v>
      </c>
      <c r="D10" s="7">
        <f t="shared" ref="D10:I10" si="0">(D6+1)*(D7+D8+3)*2*2.54*2.54/10000*D3</f>
        <v>660.07609920000004</v>
      </c>
      <c r="E10" s="7">
        <f t="shared" si="0"/>
        <v>722.39855519999992</v>
      </c>
      <c r="F10" s="7">
        <f t="shared" si="0"/>
        <v>786.88874880000003</v>
      </c>
      <c r="G10" s="7">
        <f t="shared" si="0"/>
        <v>853.54668000000004</v>
      </c>
      <c r="H10" s="7">
        <f t="shared" si="0"/>
        <v>922.37234879999994</v>
      </c>
      <c r="I10" s="7">
        <f t="shared" si="0"/>
        <v>993.36575520000008</v>
      </c>
      <c r="J10" s="7">
        <f t="shared" ref="J10" si="1">(J6+1)*(J7+J8+3)*2*2.54*2.54/10000*J3</f>
        <v>1066.5268992000001</v>
      </c>
    </row>
    <row r="11" spans="1:10" x14ac:dyDescent="0.2">
      <c r="A11" s="1" t="s">
        <v>21</v>
      </c>
      <c r="C11" s="7">
        <v>6</v>
      </c>
      <c r="D11" s="7">
        <v>6</v>
      </c>
      <c r="E11" s="7">
        <v>6</v>
      </c>
      <c r="F11" s="7">
        <v>6</v>
      </c>
      <c r="G11" s="7">
        <v>6</v>
      </c>
      <c r="H11" s="7">
        <v>6</v>
      </c>
      <c r="I11" s="7">
        <v>6</v>
      </c>
      <c r="J11" s="7">
        <v>6</v>
      </c>
    </row>
    <row r="12" spans="1:10" x14ac:dyDescent="0.2">
      <c r="A12" s="1" t="s">
        <v>13</v>
      </c>
      <c r="C12" s="7">
        <v>75</v>
      </c>
      <c r="D12" s="7">
        <v>75</v>
      </c>
      <c r="E12" s="7">
        <v>75</v>
      </c>
      <c r="F12" s="7">
        <v>75</v>
      </c>
      <c r="G12" s="7">
        <v>75</v>
      </c>
      <c r="H12" s="7">
        <v>75</v>
      </c>
      <c r="I12" s="7">
        <v>75</v>
      </c>
      <c r="J12" s="7">
        <v>75</v>
      </c>
    </row>
    <row r="13" spans="1:10" x14ac:dyDescent="0.2">
      <c r="A13" s="1" t="s">
        <v>81</v>
      </c>
      <c r="C13" s="7">
        <v>120</v>
      </c>
      <c r="D13" s="7">
        <v>120</v>
      </c>
      <c r="E13" s="7">
        <v>130</v>
      </c>
      <c r="F13" s="7">
        <v>130</v>
      </c>
      <c r="G13" s="7">
        <v>140</v>
      </c>
      <c r="H13" s="7">
        <v>140</v>
      </c>
      <c r="I13" s="7">
        <v>150</v>
      </c>
      <c r="J13" s="7">
        <v>150</v>
      </c>
    </row>
    <row r="14" spans="1:10" x14ac:dyDescent="0.2">
      <c r="A14" s="1" t="s">
        <v>82</v>
      </c>
      <c r="C14" s="7">
        <v>35</v>
      </c>
      <c r="D14" s="7">
        <v>35</v>
      </c>
      <c r="E14" s="7">
        <v>35</v>
      </c>
      <c r="F14" s="7">
        <v>35</v>
      </c>
      <c r="G14" s="7">
        <v>40</v>
      </c>
      <c r="H14" s="7">
        <v>40</v>
      </c>
      <c r="I14" s="7">
        <v>40</v>
      </c>
      <c r="J14" s="7">
        <v>40</v>
      </c>
    </row>
    <row r="16" spans="1:10" x14ac:dyDescent="0.2">
      <c r="A16" s="1" t="s">
        <v>15</v>
      </c>
      <c r="C16" s="7">
        <f t="shared" ref="C16:I16" si="2">SUM(C10:C15)</f>
        <v>835.92138080000007</v>
      </c>
      <c r="D16" s="7">
        <f t="shared" si="2"/>
        <v>896.07609920000004</v>
      </c>
      <c r="E16" s="7">
        <f t="shared" si="2"/>
        <v>968.39855519999992</v>
      </c>
      <c r="F16" s="7">
        <f t="shared" si="2"/>
        <v>1032.8887488</v>
      </c>
      <c r="G16" s="7">
        <f t="shared" si="2"/>
        <v>1114.5466799999999</v>
      </c>
      <c r="H16" s="7">
        <f t="shared" si="2"/>
        <v>1183.3723488000001</v>
      </c>
      <c r="I16" s="7">
        <f t="shared" si="2"/>
        <v>1264.3657552</v>
      </c>
      <c r="J16" s="7">
        <f t="shared" ref="J16" si="3">SUM(J10:J15)</f>
        <v>1337.5268992000001</v>
      </c>
    </row>
    <row r="18" spans="1:10" x14ac:dyDescent="0.2">
      <c r="A18" s="1" t="s">
        <v>16</v>
      </c>
      <c r="C18" s="7">
        <v>185</v>
      </c>
      <c r="D18" s="7">
        <v>185</v>
      </c>
      <c r="E18" s="7">
        <v>185</v>
      </c>
      <c r="F18" s="7">
        <v>185</v>
      </c>
      <c r="G18" s="7">
        <v>185</v>
      </c>
      <c r="H18" s="7">
        <v>185</v>
      </c>
      <c r="I18" s="7">
        <v>185</v>
      </c>
      <c r="J18" s="7">
        <v>185</v>
      </c>
    </row>
    <row r="19" spans="1:10" x14ac:dyDescent="0.2">
      <c r="A19" s="1" t="s">
        <v>7</v>
      </c>
      <c r="C19" s="7">
        <v>14</v>
      </c>
      <c r="D19" s="7">
        <v>14</v>
      </c>
      <c r="E19" s="7">
        <v>14</v>
      </c>
      <c r="F19" s="7">
        <v>14</v>
      </c>
      <c r="G19" s="7">
        <v>14</v>
      </c>
      <c r="H19" s="7">
        <v>14</v>
      </c>
      <c r="I19" s="7">
        <v>14</v>
      </c>
      <c r="J19" s="7">
        <v>14</v>
      </c>
    </row>
    <row r="20" spans="1:10" x14ac:dyDescent="0.2">
      <c r="A20" s="1" t="s">
        <v>55</v>
      </c>
      <c r="C20" s="7">
        <v>12</v>
      </c>
      <c r="D20" s="7">
        <v>12</v>
      </c>
      <c r="E20" s="7">
        <v>12</v>
      </c>
      <c r="F20" s="7">
        <v>12</v>
      </c>
      <c r="G20" s="7">
        <v>12</v>
      </c>
      <c r="H20" s="7">
        <v>12</v>
      </c>
      <c r="I20" s="7">
        <v>12</v>
      </c>
      <c r="J20" s="7">
        <v>12</v>
      </c>
    </row>
    <row r="21" spans="1:10" x14ac:dyDescent="0.2">
      <c r="A21" s="1" t="s">
        <v>38</v>
      </c>
      <c r="C21" s="7">
        <v>18</v>
      </c>
      <c r="D21" s="7">
        <v>18</v>
      </c>
      <c r="E21" s="7">
        <v>18</v>
      </c>
      <c r="F21" s="7">
        <v>18</v>
      </c>
      <c r="G21" s="7">
        <v>18</v>
      </c>
      <c r="H21" s="7">
        <v>18</v>
      </c>
      <c r="I21" s="7">
        <v>18</v>
      </c>
      <c r="J21" s="7">
        <v>18</v>
      </c>
    </row>
    <row r="22" spans="1:10" x14ac:dyDescent="0.2">
      <c r="A22" s="1" t="s">
        <v>79</v>
      </c>
      <c r="C22" s="7">
        <v>9</v>
      </c>
      <c r="D22" s="7">
        <v>9</v>
      </c>
      <c r="E22" s="7">
        <v>9</v>
      </c>
      <c r="F22" s="7">
        <v>9</v>
      </c>
      <c r="G22" s="7">
        <v>9</v>
      </c>
      <c r="H22" s="7">
        <v>9</v>
      </c>
      <c r="I22" s="7">
        <v>9</v>
      </c>
      <c r="J22" s="7">
        <v>9</v>
      </c>
    </row>
    <row r="23" spans="1:10" x14ac:dyDescent="0.2">
      <c r="A23" s="1" t="s">
        <v>8</v>
      </c>
      <c r="C23" s="7">
        <v>9</v>
      </c>
      <c r="D23" s="7">
        <v>9</v>
      </c>
      <c r="E23" s="7">
        <v>9</v>
      </c>
      <c r="F23" s="7">
        <v>9</v>
      </c>
      <c r="G23" s="7">
        <v>9</v>
      </c>
      <c r="H23" s="7">
        <v>9</v>
      </c>
      <c r="I23" s="7">
        <v>9</v>
      </c>
      <c r="J23" s="7">
        <v>9</v>
      </c>
    </row>
    <row r="24" spans="1:10" x14ac:dyDescent="0.2">
      <c r="C24" s="7"/>
      <c r="D24" s="7"/>
      <c r="E24" s="7"/>
      <c r="F24" s="7"/>
      <c r="G24" s="7"/>
      <c r="H24" s="7"/>
      <c r="I24" s="7"/>
      <c r="J24" s="7"/>
    </row>
    <row r="25" spans="1:10" x14ac:dyDescent="0.2">
      <c r="A25" s="1" t="s">
        <v>2</v>
      </c>
      <c r="C25" s="7">
        <f>SUM(C18:C23)</f>
        <v>247</v>
      </c>
      <c r="D25" s="7">
        <f t="shared" ref="D25:I25" si="4">SUM(D18:D23)</f>
        <v>247</v>
      </c>
      <c r="E25" s="7">
        <f t="shared" si="4"/>
        <v>247</v>
      </c>
      <c r="F25" s="7">
        <f t="shared" si="4"/>
        <v>247</v>
      </c>
      <c r="G25" s="7">
        <f t="shared" si="4"/>
        <v>247</v>
      </c>
      <c r="H25" s="7">
        <f t="shared" si="4"/>
        <v>247</v>
      </c>
      <c r="I25" s="7">
        <f t="shared" si="4"/>
        <v>247</v>
      </c>
      <c r="J25" s="7">
        <f t="shared" ref="J25" si="5">SUM(J18:J23)</f>
        <v>247</v>
      </c>
    </row>
    <row r="26" spans="1:10" x14ac:dyDescent="0.2">
      <c r="A26" s="1" t="s">
        <v>32</v>
      </c>
      <c r="C26" s="7">
        <f>C25*3%</f>
        <v>7.41</v>
      </c>
      <c r="D26" s="7">
        <f t="shared" ref="D26:J26" si="6">D25*3%</f>
        <v>7.41</v>
      </c>
      <c r="E26" s="7">
        <f t="shared" si="6"/>
        <v>7.41</v>
      </c>
      <c r="F26" s="7">
        <f t="shared" si="6"/>
        <v>7.41</v>
      </c>
      <c r="G26" s="7">
        <f t="shared" si="6"/>
        <v>7.41</v>
      </c>
      <c r="H26" s="7">
        <f t="shared" si="6"/>
        <v>7.41</v>
      </c>
      <c r="I26" s="7">
        <f t="shared" si="6"/>
        <v>7.41</v>
      </c>
      <c r="J26" s="7">
        <f t="shared" si="6"/>
        <v>7.41</v>
      </c>
    </row>
    <row r="27" spans="1:10" x14ac:dyDescent="0.2">
      <c r="C27" s="7"/>
      <c r="D27" s="7"/>
      <c r="E27" s="7"/>
      <c r="F27" s="7"/>
      <c r="G27" s="7"/>
      <c r="H27" s="7"/>
      <c r="I27" s="7"/>
      <c r="J27" s="7"/>
    </row>
    <row r="28" spans="1:10" s="8" customFormat="1" x14ac:dyDescent="0.2">
      <c r="A28" s="8" t="s">
        <v>3</v>
      </c>
      <c r="C28" s="7">
        <f t="shared" ref="C28:I28" si="7">SUM(C25:C27)</f>
        <v>254.41</v>
      </c>
      <c r="D28" s="7">
        <f t="shared" si="7"/>
        <v>254.41</v>
      </c>
      <c r="E28" s="7">
        <f t="shared" si="7"/>
        <v>254.41</v>
      </c>
      <c r="F28" s="7">
        <f t="shared" si="7"/>
        <v>254.41</v>
      </c>
      <c r="G28" s="7">
        <f t="shared" si="7"/>
        <v>254.41</v>
      </c>
      <c r="H28" s="7">
        <f t="shared" si="7"/>
        <v>254.41</v>
      </c>
      <c r="I28" s="7">
        <f t="shared" si="7"/>
        <v>254.41</v>
      </c>
      <c r="J28" s="7">
        <f t="shared" ref="J28" si="8">SUM(J25:J27)</f>
        <v>254.41</v>
      </c>
    </row>
    <row r="29" spans="1:10" x14ac:dyDescent="0.2">
      <c r="C29" s="7"/>
      <c r="D29" s="7"/>
      <c r="E29" s="7"/>
      <c r="F29" s="7"/>
      <c r="G29" s="7"/>
      <c r="H29" s="7"/>
      <c r="I29" s="7"/>
      <c r="J29" s="7"/>
    </row>
    <row r="30" spans="1:10" x14ac:dyDescent="0.2">
      <c r="A30" s="1" t="s">
        <v>4</v>
      </c>
      <c r="C30" s="2">
        <f>C28*C16/1000</f>
        <v>212.666758489328</v>
      </c>
      <c r="D30" s="2">
        <f t="shared" ref="D30:I30" si="9">D28*D16/1000</f>
        <v>227.97072039747201</v>
      </c>
      <c r="E30" s="2">
        <f t="shared" si="9"/>
        <v>246.37027642843196</v>
      </c>
      <c r="F30" s="2">
        <f t="shared" si="9"/>
        <v>262.77722658220802</v>
      </c>
      <c r="G30" s="2">
        <f t="shared" si="9"/>
        <v>283.55182085879994</v>
      </c>
      <c r="H30" s="2">
        <f t="shared" si="9"/>
        <v>301.06175925820799</v>
      </c>
      <c r="I30" s="2">
        <f t="shared" si="9"/>
        <v>321.66729178043198</v>
      </c>
      <c r="J30" s="2">
        <f t="shared" ref="J30" si="10">J28*J16/1000</f>
        <v>340.28021842547201</v>
      </c>
    </row>
    <row r="31" spans="1:10" x14ac:dyDescent="0.2">
      <c r="A31" s="1" t="s">
        <v>5</v>
      </c>
      <c r="C31" s="2">
        <v>35</v>
      </c>
      <c r="D31" s="2">
        <v>35</v>
      </c>
      <c r="E31" s="2">
        <v>35</v>
      </c>
      <c r="F31" s="2">
        <v>35</v>
      </c>
      <c r="G31" s="2">
        <v>35</v>
      </c>
      <c r="H31" s="2">
        <v>35</v>
      </c>
      <c r="I31" s="2">
        <v>35</v>
      </c>
      <c r="J31" s="2">
        <v>35</v>
      </c>
    </row>
    <row r="32" spans="1:10" x14ac:dyDescent="0.2">
      <c r="A32" s="1" t="s">
        <v>56</v>
      </c>
      <c r="C32" s="2">
        <v>10</v>
      </c>
      <c r="D32" s="2">
        <v>10</v>
      </c>
      <c r="E32" s="2">
        <v>10</v>
      </c>
      <c r="F32" s="2">
        <v>10</v>
      </c>
      <c r="G32" s="2">
        <v>10</v>
      </c>
      <c r="H32" s="2">
        <v>10</v>
      </c>
      <c r="I32" s="2">
        <v>10</v>
      </c>
      <c r="J32" s="2">
        <v>10</v>
      </c>
    </row>
    <row r="33" spans="1:10" x14ac:dyDescent="0.2">
      <c r="C33" s="2"/>
      <c r="D33" s="2"/>
      <c r="E33" s="2"/>
      <c r="F33" s="2"/>
      <c r="G33" s="2"/>
      <c r="H33" s="2"/>
      <c r="I33" s="2"/>
      <c r="J33" s="2"/>
    </row>
    <row r="34" spans="1:10" x14ac:dyDescent="0.2">
      <c r="A34" s="1" t="s">
        <v>2</v>
      </c>
      <c r="C34" s="2">
        <f>SUM(C30:C33)</f>
        <v>257.666758489328</v>
      </c>
      <c r="D34" s="2">
        <f t="shared" ref="D34:J34" si="11">SUM(D30:D33)</f>
        <v>272.97072039747201</v>
      </c>
      <c r="E34" s="2">
        <f t="shared" si="11"/>
        <v>291.37027642843196</v>
      </c>
      <c r="F34" s="2">
        <f t="shared" si="11"/>
        <v>307.77722658220802</v>
      </c>
      <c r="G34" s="2">
        <f t="shared" si="11"/>
        <v>328.55182085879994</v>
      </c>
      <c r="H34" s="2">
        <f t="shared" si="11"/>
        <v>346.06175925820799</v>
      </c>
      <c r="I34" s="2">
        <f t="shared" si="11"/>
        <v>366.66729178043198</v>
      </c>
      <c r="J34" s="2">
        <f t="shared" si="11"/>
        <v>385.28021842547201</v>
      </c>
    </row>
    <row r="35" spans="1:10" x14ac:dyDescent="0.2">
      <c r="A35" s="1" t="s">
        <v>19</v>
      </c>
      <c r="C35" s="2">
        <f t="shared" ref="C35:I35" si="12">C34*1%</f>
        <v>2.5766675848932801</v>
      </c>
      <c r="D35" s="2">
        <f t="shared" si="12"/>
        <v>2.7297072039747201</v>
      </c>
      <c r="E35" s="2">
        <f t="shared" si="12"/>
        <v>2.9137027642843196</v>
      </c>
      <c r="F35" s="2">
        <f t="shared" si="12"/>
        <v>3.0777722658220803</v>
      </c>
      <c r="G35" s="2">
        <f t="shared" si="12"/>
        <v>3.2855182085879995</v>
      </c>
      <c r="H35" s="2">
        <f t="shared" si="12"/>
        <v>3.4606175925820799</v>
      </c>
      <c r="I35" s="2">
        <f t="shared" si="12"/>
        <v>3.6666729178043198</v>
      </c>
      <c r="J35" s="2">
        <f t="shared" ref="J35" si="13">J34*1%</f>
        <v>3.8528021842547204</v>
      </c>
    </row>
    <row r="36" spans="1:10" x14ac:dyDescent="0.2">
      <c r="C36" s="2"/>
      <c r="D36" s="2"/>
      <c r="E36" s="2"/>
      <c r="F36" s="2"/>
      <c r="G36" s="2"/>
      <c r="H36" s="2"/>
      <c r="I36" s="2"/>
      <c r="J36" s="2"/>
    </row>
    <row r="37" spans="1:10" x14ac:dyDescent="0.2">
      <c r="A37" s="1" t="s">
        <v>2</v>
      </c>
      <c r="C37" s="2">
        <f t="shared" ref="C37:I37" si="14">SUM(C34:C36)</f>
        <v>260.2434260742213</v>
      </c>
      <c r="D37" s="2">
        <f t="shared" si="14"/>
        <v>275.70042760144673</v>
      </c>
      <c r="E37" s="2">
        <f t="shared" si="14"/>
        <v>294.28397919271629</v>
      </c>
      <c r="F37" s="2">
        <f t="shared" si="14"/>
        <v>310.85499884803011</v>
      </c>
      <c r="G37" s="2">
        <f t="shared" si="14"/>
        <v>331.83733906738792</v>
      </c>
      <c r="H37" s="2">
        <f t="shared" si="14"/>
        <v>349.52237685079007</v>
      </c>
      <c r="I37" s="2">
        <f t="shared" si="14"/>
        <v>370.33396469823629</v>
      </c>
      <c r="J37" s="2">
        <f t="shared" ref="J37" si="15">SUM(J34:J36)</f>
        <v>389.13302060972671</v>
      </c>
    </row>
    <row r="38" spans="1:10" x14ac:dyDescent="0.2">
      <c r="A38" s="1" t="s">
        <v>42</v>
      </c>
      <c r="C38" s="2">
        <f>C37*20%</f>
        <v>52.048685214844262</v>
      </c>
      <c r="D38" s="2">
        <f t="shared" ref="D38:J38" si="16">D37*20%</f>
        <v>55.140085520289347</v>
      </c>
      <c r="E38" s="2">
        <f t="shared" si="16"/>
        <v>58.856795838543263</v>
      </c>
      <c r="F38" s="2">
        <f t="shared" si="16"/>
        <v>62.170999769606027</v>
      </c>
      <c r="G38" s="2">
        <f t="shared" si="16"/>
        <v>66.367467813477589</v>
      </c>
      <c r="H38" s="2">
        <f t="shared" si="16"/>
        <v>69.904475370158011</v>
      </c>
      <c r="I38" s="2">
        <f t="shared" si="16"/>
        <v>74.066792939647257</v>
      </c>
      <c r="J38" s="2">
        <f t="shared" si="16"/>
        <v>77.826604121945351</v>
      </c>
    </row>
    <row r="39" spans="1:10" x14ac:dyDescent="0.2">
      <c r="C39" s="2"/>
      <c r="D39" s="2"/>
      <c r="E39" s="2"/>
      <c r="F39" s="2"/>
      <c r="G39" s="2"/>
      <c r="H39" s="2"/>
      <c r="I39" s="2"/>
      <c r="J39" s="2"/>
    </row>
    <row r="40" spans="1:10" x14ac:dyDescent="0.2">
      <c r="A40" s="1" t="s">
        <v>6</v>
      </c>
      <c r="C40" s="2">
        <f t="shared" ref="C40:I40" si="17">SUM(C37:C39)</f>
        <v>312.29211128906559</v>
      </c>
      <c r="D40" s="2">
        <f t="shared" si="17"/>
        <v>330.84051312173608</v>
      </c>
      <c r="E40" s="2">
        <f t="shared" si="17"/>
        <v>353.14077503125952</v>
      </c>
      <c r="F40" s="2">
        <f t="shared" si="17"/>
        <v>373.02599861763611</v>
      </c>
      <c r="G40" s="2">
        <f t="shared" si="17"/>
        <v>398.20480688086548</v>
      </c>
      <c r="H40" s="2">
        <f t="shared" si="17"/>
        <v>419.42685222094809</v>
      </c>
      <c r="I40" s="2">
        <f t="shared" si="17"/>
        <v>444.40075763788354</v>
      </c>
      <c r="J40" s="2">
        <f t="shared" ref="J40" si="18">SUM(J37:J39)</f>
        <v>466.95962473167208</v>
      </c>
    </row>
    <row r="41" spans="1:10" x14ac:dyDescent="0.2">
      <c r="C41" s="2"/>
      <c r="D41" s="2"/>
      <c r="E41" s="2"/>
      <c r="F41" s="2"/>
      <c r="G41" s="2"/>
      <c r="H41" s="2"/>
      <c r="I41" s="2"/>
      <c r="J41" s="2"/>
    </row>
    <row r="42" spans="1:10" x14ac:dyDescent="0.2">
      <c r="A42" s="1" t="s">
        <v>57</v>
      </c>
      <c r="C42" s="2">
        <f>C40/90</f>
        <v>3.4699123476562841</v>
      </c>
      <c r="D42" s="2">
        <f t="shared" ref="D42:I42" si="19">D40/90</f>
        <v>3.6760057013526231</v>
      </c>
      <c r="E42" s="2">
        <f t="shared" si="19"/>
        <v>3.9237863892362168</v>
      </c>
      <c r="F42" s="2">
        <f t="shared" si="19"/>
        <v>4.1447333179737349</v>
      </c>
      <c r="G42" s="2">
        <f t="shared" si="19"/>
        <v>4.4244978542318387</v>
      </c>
      <c r="H42" s="2">
        <f t="shared" si="19"/>
        <v>4.6602983580105342</v>
      </c>
      <c r="I42" s="2">
        <f t="shared" si="19"/>
        <v>4.9377861959764839</v>
      </c>
      <c r="J42" s="2">
        <f t="shared" ref="J42" si="20">J40/90</f>
        <v>5.1884402747963563</v>
      </c>
    </row>
    <row r="43" spans="1:10" x14ac:dyDescent="0.2">
      <c r="C43" s="2"/>
      <c r="D43" s="2"/>
      <c r="E43" s="2"/>
      <c r="F43" s="2"/>
      <c r="G43" s="2"/>
      <c r="H43" s="2"/>
      <c r="I43" s="2"/>
      <c r="J43" s="2"/>
    </row>
    <row r="44" spans="1:10" x14ac:dyDescent="0.2">
      <c r="A44" s="1" t="s">
        <v>58</v>
      </c>
      <c r="C44" s="2">
        <f>0.07+0.11</f>
        <v>0.18</v>
      </c>
      <c r="D44" s="2">
        <f t="shared" ref="D44:J44" si="21">0.07+0.11</f>
        <v>0.18</v>
      </c>
      <c r="E44" s="2">
        <f t="shared" si="21"/>
        <v>0.18</v>
      </c>
      <c r="F44" s="2">
        <f t="shared" si="21"/>
        <v>0.18</v>
      </c>
      <c r="G44" s="2">
        <f t="shared" si="21"/>
        <v>0.18</v>
      </c>
      <c r="H44" s="2">
        <f t="shared" si="21"/>
        <v>0.18</v>
      </c>
      <c r="I44" s="2">
        <f t="shared" si="21"/>
        <v>0.18</v>
      </c>
      <c r="J44" s="2">
        <f t="shared" si="21"/>
        <v>0.18</v>
      </c>
    </row>
    <row r="45" spans="1:10" x14ac:dyDescent="0.2">
      <c r="C45" s="2"/>
      <c r="D45" s="2"/>
      <c r="E45" s="2"/>
      <c r="F45" s="2"/>
      <c r="G45" s="2"/>
      <c r="H45" s="2"/>
      <c r="I45" s="2"/>
      <c r="J45" s="2"/>
    </row>
    <row r="46" spans="1:10" x14ac:dyDescent="0.2">
      <c r="A46" s="1" t="s">
        <v>59</v>
      </c>
      <c r="C46" s="2">
        <f>SUM(C42:C45)</f>
        <v>3.6499123476562843</v>
      </c>
      <c r="D46" s="2">
        <f t="shared" ref="D46:J46" si="22">SUM(D42:D45)</f>
        <v>3.8560057013526232</v>
      </c>
      <c r="E46" s="2">
        <f t="shared" si="22"/>
        <v>4.103786389236217</v>
      </c>
      <c r="F46" s="2">
        <f t="shared" si="22"/>
        <v>4.3247333179737346</v>
      </c>
      <c r="G46" s="2">
        <f t="shared" si="22"/>
        <v>4.6044978542318384</v>
      </c>
      <c r="H46" s="2">
        <f t="shared" si="22"/>
        <v>4.8402983580105339</v>
      </c>
      <c r="I46" s="2">
        <f t="shared" si="22"/>
        <v>5.1177861959764837</v>
      </c>
      <c r="J46" s="2">
        <f t="shared" si="22"/>
        <v>5.368440274796356</v>
      </c>
    </row>
    <row r="47" spans="1:10" s="6" customFormat="1" x14ac:dyDescent="0.2">
      <c r="C47" s="5"/>
      <c r="D47" s="5"/>
      <c r="E47" s="5"/>
      <c r="F47" s="5"/>
      <c r="G47" s="5"/>
      <c r="H47" s="5"/>
      <c r="I47" s="5"/>
      <c r="J47" s="5"/>
    </row>
    <row r="48" spans="1:10" x14ac:dyDescent="0.2">
      <c r="C48" s="2"/>
      <c r="D48" s="2"/>
      <c r="E48" s="2"/>
      <c r="F48" s="2"/>
      <c r="G48" s="2"/>
      <c r="H48" s="2"/>
      <c r="I48" s="2"/>
      <c r="J48" s="2"/>
    </row>
    <row r="49" spans="3:10" x14ac:dyDescent="0.2">
      <c r="C49" s="2"/>
      <c r="D49" s="2"/>
      <c r="E49" s="2"/>
      <c r="F49" s="2"/>
      <c r="G49" s="2"/>
      <c r="H49" s="2"/>
      <c r="I49" s="2"/>
      <c r="J49" s="2"/>
    </row>
    <row r="50" spans="3:10" x14ac:dyDescent="0.2">
      <c r="C50" s="2"/>
      <c r="D50" s="2"/>
      <c r="E50" s="2"/>
      <c r="F50" s="2"/>
      <c r="G50" s="2"/>
      <c r="H50" s="2"/>
      <c r="I50" s="2"/>
      <c r="J50" s="2"/>
    </row>
    <row r="51" spans="3:10" x14ac:dyDescent="0.2">
      <c r="C51" s="2"/>
      <c r="D51" s="2"/>
      <c r="E51" s="2"/>
      <c r="F51" s="2"/>
      <c r="G51" s="2"/>
      <c r="H51" s="2"/>
      <c r="I51" s="2"/>
      <c r="J51" s="2"/>
    </row>
    <row r="52" spans="3:10" x14ac:dyDescent="0.2">
      <c r="C52" s="2"/>
      <c r="D52" s="2"/>
      <c r="E52" s="2"/>
      <c r="F52" s="2"/>
      <c r="G52" s="2"/>
      <c r="H52" s="2"/>
      <c r="I52" s="2"/>
      <c r="J52" s="2"/>
    </row>
    <row r="53" spans="3:10" x14ac:dyDescent="0.2">
      <c r="C53" s="2"/>
      <c r="D53" s="2"/>
      <c r="E53" s="2"/>
      <c r="F53" s="2"/>
      <c r="G53" s="2"/>
      <c r="H53" s="2"/>
      <c r="I53" s="2"/>
      <c r="J53" s="2"/>
    </row>
    <row r="54" spans="3:10" x14ac:dyDescent="0.2">
      <c r="C54" s="2"/>
      <c r="D54" s="2"/>
      <c r="E54" s="2"/>
      <c r="F54" s="2"/>
      <c r="G54" s="2"/>
      <c r="H54" s="2"/>
      <c r="I54" s="2"/>
      <c r="J54" s="2"/>
    </row>
    <row r="55" spans="3:10" x14ac:dyDescent="0.2">
      <c r="C55" s="2"/>
      <c r="D55" s="2"/>
      <c r="E55" s="2"/>
      <c r="F55" s="2"/>
      <c r="G55" s="2"/>
      <c r="H55" s="2"/>
      <c r="I55" s="2"/>
      <c r="J55" s="2"/>
    </row>
    <row r="56" spans="3:10" x14ac:dyDescent="0.2">
      <c r="C56" s="2"/>
      <c r="D56" s="2"/>
      <c r="E56" s="2"/>
      <c r="F56" s="2"/>
      <c r="G56" s="2"/>
      <c r="H56" s="2"/>
      <c r="I56" s="2"/>
      <c r="J56" s="2"/>
    </row>
    <row r="57" spans="3:10" x14ac:dyDescent="0.2">
      <c r="C57" s="2"/>
      <c r="D57" s="2"/>
    </row>
    <row r="58" spans="3:10" x14ac:dyDescent="0.2">
      <c r="C58" s="2"/>
      <c r="D58" s="2"/>
    </row>
    <row r="59" spans="3:10" x14ac:dyDescent="0.2">
      <c r="C59" s="2"/>
      <c r="D59" s="2"/>
    </row>
    <row r="60" spans="3:10" x14ac:dyDescent="0.2">
      <c r="C60" s="2"/>
      <c r="D60" s="2"/>
    </row>
    <row r="61" spans="3:10" x14ac:dyDescent="0.2">
      <c r="C61" s="2"/>
      <c r="D61" s="2"/>
    </row>
    <row r="62" spans="3:10" x14ac:dyDescent="0.2">
      <c r="C62" s="2"/>
      <c r="D62" s="2"/>
    </row>
    <row r="63" spans="3:10" x14ac:dyDescent="0.2">
      <c r="C63" s="2"/>
      <c r="D63" s="2"/>
    </row>
    <row r="64" spans="3:10" x14ac:dyDescent="0.2">
      <c r="C64" s="2"/>
      <c r="D64" s="2"/>
    </row>
    <row r="65" spans="3:4" x14ac:dyDescent="0.2">
      <c r="C65" s="2"/>
      <c r="D65" s="2"/>
    </row>
    <row r="66" spans="3:4" x14ac:dyDescent="0.2">
      <c r="C66" s="10"/>
      <c r="D66" s="10"/>
    </row>
    <row r="67" spans="3:4" x14ac:dyDescent="0.2">
      <c r="C67" s="2"/>
      <c r="D67" s="2"/>
    </row>
    <row r="68" spans="3:4" x14ac:dyDescent="0.2">
      <c r="C68" s="10"/>
      <c r="D68" s="10"/>
    </row>
    <row r="69" spans="3:4" x14ac:dyDescent="0.2">
      <c r="C69" s="2"/>
      <c r="D69" s="2"/>
    </row>
    <row r="70" spans="3:4" x14ac:dyDescent="0.2">
      <c r="C70" s="10"/>
      <c r="D70" s="10"/>
    </row>
    <row r="71" spans="3:4" x14ac:dyDescent="0.2">
      <c r="C71" s="2"/>
      <c r="D71" s="2"/>
    </row>
    <row r="72" spans="3:4" x14ac:dyDescent="0.2">
      <c r="C72" s="2"/>
      <c r="D72" s="2"/>
    </row>
  </sheetData>
  <pageMargins left="0.39370078740157483" right="0.39370078740157483" top="0.39370078740157483" bottom="0.39370078740157483" header="0.39370078740157483" footer="0.39370078740157483"/>
  <pageSetup paperSize="9" scale="74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F8031C-B7A8-4DDE-94EC-37660847E096}">
  <sheetPr>
    <pageSetUpPr fitToPage="1"/>
  </sheetPr>
  <dimension ref="A1:J70"/>
  <sheetViews>
    <sheetView topLeftCell="A29" zoomScaleNormal="100" workbookViewId="0">
      <selection activeCell="H44" sqref="H44:I44"/>
    </sheetView>
  </sheetViews>
  <sheetFormatPr defaultColWidth="9.14453125" defaultRowHeight="15" x14ac:dyDescent="0.2"/>
  <cols>
    <col min="1" max="1" width="18.16015625" style="1" bestFit="1" customWidth="1"/>
    <col min="2" max="2" width="5.6484375" style="1" customWidth="1"/>
    <col min="3" max="9" width="17.21875" style="1" bestFit="1" customWidth="1"/>
    <col min="10" max="10" width="13.85546875" style="1" bestFit="1" customWidth="1"/>
    <col min="11" max="16384" width="9.14453125" style="1"/>
  </cols>
  <sheetData>
    <row r="1" spans="1:10" ht="30" customHeight="1" x14ac:dyDescent="0.2">
      <c r="A1" s="1" t="s">
        <v>28</v>
      </c>
      <c r="C1" s="9" t="s">
        <v>69</v>
      </c>
      <c r="D1" s="9" t="s">
        <v>69</v>
      </c>
      <c r="E1" s="9" t="s">
        <v>69</v>
      </c>
      <c r="F1" s="9" t="s">
        <v>69</v>
      </c>
      <c r="G1" s="9" t="s">
        <v>69</v>
      </c>
      <c r="H1" s="9" t="s">
        <v>69</v>
      </c>
      <c r="I1" s="9" t="s">
        <v>69</v>
      </c>
      <c r="J1" s="9"/>
    </row>
    <row r="2" spans="1:10" x14ac:dyDescent="0.2">
      <c r="A2" s="1" t="s">
        <v>0</v>
      </c>
      <c r="C2" s="1" t="s">
        <v>68</v>
      </c>
      <c r="D2" s="1" t="s">
        <v>68</v>
      </c>
      <c r="E2" s="1" t="s">
        <v>68</v>
      </c>
      <c r="F2" s="1" t="s">
        <v>68</v>
      </c>
      <c r="G2" s="1" t="s">
        <v>68</v>
      </c>
      <c r="H2" s="1" t="s">
        <v>68</v>
      </c>
      <c r="I2" s="1" t="s">
        <v>68</v>
      </c>
    </row>
    <row r="3" spans="1:10" x14ac:dyDescent="0.2">
      <c r="A3" s="1" t="s">
        <v>1</v>
      </c>
      <c r="C3" s="1">
        <v>280</v>
      </c>
      <c r="D3" s="1">
        <v>280</v>
      </c>
      <c r="E3" s="1">
        <v>280</v>
      </c>
      <c r="F3" s="1">
        <v>280</v>
      </c>
      <c r="G3" s="1">
        <v>280</v>
      </c>
      <c r="H3" s="1">
        <v>280</v>
      </c>
      <c r="I3" s="1">
        <v>280</v>
      </c>
    </row>
    <row r="4" spans="1:10" x14ac:dyDescent="0.2">
      <c r="C4" s="1" t="s">
        <v>70</v>
      </c>
      <c r="D4" s="1" t="s">
        <v>71</v>
      </c>
      <c r="E4" s="1" t="s">
        <v>72</v>
      </c>
      <c r="F4" s="1" t="s">
        <v>73</v>
      </c>
      <c r="G4" s="1" t="s">
        <v>74</v>
      </c>
      <c r="H4" s="1" t="s">
        <v>75</v>
      </c>
      <c r="I4" s="1" t="s">
        <v>76</v>
      </c>
    </row>
    <row r="6" spans="1:10" x14ac:dyDescent="0.2">
      <c r="A6" s="1" t="s">
        <v>10</v>
      </c>
      <c r="C6" s="1">
        <v>24</v>
      </c>
      <c r="D6" s="1">
        <v>25</v>
      </c>
      <c r="E6" s="1">
        <v>26</v>
      </c>
      <c r="F6" s="1">
        <v>28</v>
      </c>
      <c r="G6" s="1">
        <v>30</v>
      </c>
      <c r="H6" s="1">
        <v>32</v>
      </c>
      <c r="I6" s="1">
        <v>34</v>
      </c>
    </row>
    <row r="7" spans="1:10" x14ac:dyDescent="0.2">
      <c r="A7" s="1" t="s">
        <v>12</v>
      </c>
      <c r="C7" s="1">
        <v>31.5</v>
      </c>
      <c r="D7" s="1">
        <v>32.5</v>
      </c>
      <c r="E7" s="1">
        <v>33.5</v>
      </c>
      <c r="F7" s="1">
        <v>34.5</v>
      </c>
      <c r="G7" s="1">
        <v>35.5</v>
      </c>
      <c r="H7" s="1">
        <v>36.5</v>
      </c>
      <c r="I7" s="1">
        <v>37.5</v>
      </c>
    </row>
    <row r="8" spans="1:10" x14ac:dyDescent="0.2">
      <c r="A8" s="1" t="s">
        <v>77</v>
      </c>
      <c r="C8" s="1">
        <v>27</v>
      </c>
      <c r="D8" s="1">
        <v>27.5</v>
      </c>
      <c r="E8" s="1">
        <v>28</v>
      </c>
      <c r="F8" s="1">
        <v>28.5</v>
      </c>
      <c r="G8" s="1">
        <v>29</v>
      </c>
      <c r="H8" s="1">
        <v>29.5</v>
      </c>
      <c r="I8" s="1">
        <v>30</v>
      </c>
    </row>
    <row r="10" spans="1:10" x14ac:dyDescent="0.2">
      <c r="A10" s="1" t="s">
        <v>14</v>
      </c>
      <c r="C10" s="7">
        <f>(C6+1)*(C7+C8+3)*2*2.54*2.54/10000*C3</f>
        <v>555.4827600000001</v>
      </c>
      <c r="D10" s="7">
        <f t="shared" ref="D10:I10" si="0">(D6+1)*(D7+D8+3)*2*2.54*2.54/10000*D3</f>
        <v>591.79236479999997</v>
      </c>
      <c r="E10" s="7">
        <f t="shared" si="0"/>
        <v>629.18583839999997</v>
      </c>
      <c r="F10" s="7">
        <f t="shared" si="0"/>
        <v>691.50829440000007</v>
      </c>
      <c r="G10" s="7">
        <f t="shared" si="0"/>
        <v>755.99848800000007</v>
      </c>
      <c r="H10" s="7">
        <f t="shared" si="0"/>
        <v>822.65641919999996</v>
      </c>
      <c r="I10" s="7">
        <f t="shared" si="0"/>
        <v>891.48208800000009</v>
      </c>
      <c r="J10" s="7"/>
    </row>
    <row r="11" spans="1:10" x14ac:dyDescent="0.2">
      <c r="A11" s="1" t="s">
        <v>21</v>
      </c>
      <c r="C11" s="7">
        <v>6</v>
      </c>
      <c r="D11" s="7">
        <v>6</v>
      </c>
      <c r="E11" s="7">
        <v>6</v>
      </c>
      <c r="F11" s="7">
        <v>6</v>
      </c>
      <c r="G11" s="7">
        <v>6</v>
      </c>
      <c r="H11" s="7">
        <v>6</v>
      </c>
      <c r="I11" s="7">
        <v>6</v>
      </c>
      <c r="J11" s="7"/>
    </row>
    <row r="12" spans="1:10" x14ac:dyDescent="0.2">
      <c r="A12" s="1" t="s">
        <v>13</v>
      </c>
      <c r="C12" s="7">
        <v>75</v>
      </c>
      <c r="D12" s="7">
        <v>75</v>
      </c>
      <c r="E12" s="7">
        <v>75</v>
      </c>
      <c r="F12" s="7">
        <v>75</v>
      </c>
      <c r="G12" s="7">
        <v>75</v>
      </c>
      <c r="H12" s="7">
        <v>75</v>
      </c>
      <c r="I12" s="7">
        <v>75</v>
      </c>
      <c r="J12" s="7"/>
    </row>
    <row r="14" spans="1:10" x14ac:dyDescent="0.2">
      <c r="A14" s="1" t="s">
        <v>15</v>
      </c>
      <c r="C14" s="7">
        <f t="shared" ref="C14:I14" si="1">SUM(C10:C13)</f>
        <v>636.4827600000001</v>
      </c>
      <c r="D14" s="7">
        <f t="shared" si="1"/>
        <v>672.79236479999997</v>
      </c>
      <c r="E14" s="7">
        <f t="shared" si="1"/>
        <v>710.18583839999997</v>
      </c>
      <c r="F14" s="7">
        <f t="shared" si="1"/>
        <v>772.50829440000007</v>
      </c>
      <c r="G14" s="7">
        <f t="shared" si="1"/>
        <v>836.99848800000007</v>
      </c>
      <c r="H14" s="7">
        <f t="shared" si="1"/>
        <v>903.65641919999996</v>
      </c>
      <c r="I14" s="7">
        <f t="shared" si="1"/>
        <v>972.48208800000009</v>
      </c>
      <c r="J14" s="7"/>
    </row>
    <row r="16" spans="1:10" x14ac:dyDescent="0.2">
      <c r="A16" s="1" t="s">
        <v>16</v>
      </c>
      <c r="C16" s="7">
        <v>185</v>
      </c>
      <c r="D16" s="7">
        <v>185</v>
      </c>
      <c r="E16" s="7">
        <v>185</v>
      </c>
      <c r="F16" s="7">
        <v>185</v>
      </c>
      <c r="G16" s="7">
        <v>185</v>
      </c>
      <c r="H16" s="7">
        <v>185</v>
      </c>
      <c r="I16" s="7">
        <v>185</v>
      </c>
      <c r="J16" s="7"/>
    </row>
    <row r="17" spans="1:10" x14ac:dyDescent="0.2">
      <c r="A17" s="1" t="s">
        <v>7</v>
      </c>
      <c r="C17" s="7">
        <v>14</v>
      </c>
      <c r="D17" s="7">
        <v>14</v>
      </c>
      <c r="E17" s="7">
        <v>14</v>
      </c>
      <c r="F17" s="7">
        <v>14</v>
      </c>
      <c r="G17" s="7">
        <v>14</v>
      </c>
      <c r="H17" s="7">
        <v>14</v>
      </c>
      <c r="I17" s="7">
        <v>14</v>
      </c>
      <c r="J17" s="7"/>
    </row>
    <row r="18" spans="1:10" x14ac:dyDescent="0.2">
      <c r="A18" s="1" t="s">
        <v>55</v>
      </c>
      <c r="C18" s="7">
        <v>12</v>
      </c>
      <c r="D18" s="7">
        <v>12</v>
      </c>
      <c r="E18" s="7">
        <v>12</v>
      </c>
      <c r="F18" s="7">
        <v>12</v>
      </c>
      <c r="G18" s="7">
        <v>12</v>
      </c>
      <c r="H18" s="7">
        <v>12</v>
      </c>
      <c r="I18" s="7">
        <v>12</v>
      </c>
      <c r="J18" s="7"/>
    </row>
    <row r="19" spans="1:10" x14ac:dyDescent="0.2">
      <c r="A19" s="1" t="s">
        <v>38</v>
      </c>
      <c r="C19" s="7">
        <v>18</v>
      </c>
      <c r="D19" s="7">
        <v>18</v>
      </c>
      <c r="E19" s="7">
        <v>18</v>
      </c>
      <c r="F19" s="7">
        <v>18</v>
      </c>
      <c r="G19" s="7">
        <v>18</v>
      </c>
      <c r="H19" s="7">
        <v>18</v>
      </c>
      <c r="I19" s="7">
        <v>18</v>
      </c>
      <c r="J19" s="7"/>
    </row>
    <row r="20" spans="1:10" x14ac:dyDescent="0.2">
      <c r="A20" s="1" t="s">
        <v>79</v>
      </c>
      <c r="C20" s="7">
        <v>9</v>
      </c>
      <c r="D20" s="7">
        <v>9</v>
      </c>
      <c r="E20" s="7">
        <v>9</v>
      </c>
      <c r="F20" s="7">
        <v>9</v>
      </c>
      <c r="G20" s="7">
        <v>9</v>
      </c>
      <c r="H20" s="7">
        <v>9</v>
      </c>
      <c r="I20" s="7">
        <v>9</v>
      </c>
      <c r="J20" s="7"/>
    </row>
    <row r="21" spans="1:10" x14ac:dyDescent="0.2">
      <c r="A21" s="1" t="s">
        <v>8</v>
      </c>
      <c r="C21" s="7">
        <v>9</v>
      </c>
      <c r="D21" s="7">
        <v>9</v>
      </c>
      <c r="E21" s="7">
        <v>9</v>
      </c>
      <c r="F21" s="7">
        <v>9</v>
      </c>
      <c r="G21" s="7">
        <v>9</v>
      </c>
      <c r="H21" s="7">
        <v>9</v>
      </c>
      <c r="I21" s="7">
        <v>9</v>
      </c>
      <c r="J21" s="7"/>
    </row>
    <row r="22" spans="1:10" x14ac:dyDescent="0.2">
      <c r="C22" s="7"/>
      <c r="D22" s="7"/>
      <c r="E22" s="7"/>
      <c r="F22" s="7"/>
      <c r="G22" s="7"/>
      <c r="H22" s="7"/>
      <c r="I22" s="7"/>
      <c r="J22" s="7"/>
    </row>
    <row r="23" spans="1:10" x14ac:dyDescent="0.2">
      <c r="A23" s="1" t="s">
        <v>2</v>
      </c>
      <c r="C23" s="7">
        <f>SUM(C16:C21)</f>
        <v>247</v>
      </c>
      <c r="D23" s="7">
        <f t="shared" ref="D23:I23" si="2">SUM(D16:D21)</f>
        <v>247</v>
      </c>
      <c r="E23" s="7">
        <f t="shared" si="2"/>
        <v>247</v>
      </c>
      <c r="F23" s="7">
        <f t="shared" si="2"/>
        <v>247</v>
      </c>
      <c r="G23" s="7">
        <f t="shared" si="2"/>
        <v>247</v>
      </c>
      <c r="H23" s="7">
        <f t="shared" si="2"/>
        <v>247</v>
      </c>
      <c r="I23" s="7">
        <f t="shared" si="2"/>
        <v>247</v>
      </c>
      <c r="J23" s="7"/>
    </row>
    <row r="24" spans="1:10" x14ac:dyDescent="0.2">
      <c r="A24" s="1" t="s">
        <v>32</v>
      </c>
      <c r="C24" s="7">
        <f>C23*3%</f>
        <v>7.41</v>
      </c>
      <c r="D24" s="7">
        <f t="shared" ref="D24:I24" si="3">D23*3%</f>
        <v>7.41</v>
      </c>
      <c r="E24" s="7">
        <f t="shared" si="3"/>
        <v>7.41</v>
      </c>
      <c r="F24" s="7">
        <f t="shared" si="3"/>
        <v>7.41</v>
      </c>
      <c r="G24" s="7">
        <f t="shared" si="3"/>
        <v>7.41</v>
      </c>
      <c r="H24" s="7">
        <f t="shared" si="3"/>
        <v>7.41</v>
      </c>
      <c r="I24" s="7">
        <f t="shared" si="3"/>
        <v>7.41</v>
      </c>
      <c r="J24" s="7"/>
    </row>
    <row r="25" spans="1:10" x14ac:dyDescent="0.2">
      <c r="C25" s="7"/>
      <c r="D25" s="7"/>
      <c r="E25" s="7"/>
      <c r="F25" s="7"/>
      <c r="G25" s="7"/>
      <c r="H25" s="7"/>
      <c r="I25" s="7"/>
      <c r="J25" s="7"/>
    </row>
    <row r="26" spans="1:10" s="8" customFormat="1" x14ac:dyDescent="0.2">
      <c r="A26" s="8" t="s">
        <v>3</v>
      </c>
      <c r="C26" s="7">
        <f t="shared" ref="C26:I26" si="4">SUM(C23:C25)</f>
        <v>254.41</v>
      </c>
      <c r="D26" s="7">
        <f t="shared" si="4"/>
        <v>254.41</v>
      </c>
      <c r="E26" s="7">
        <f t="shared" si="4"/>
        <v>254.41</v>
      </c>
      <c r="F26" s="7">
        <f t="shared" si="4"/>
        <v>254.41</v>
      </c>
      <c r="G26" s="7">
        <f t="shared" si="4"/>
        <v>254.41</v>
      </c>
      <c r="H26" s="7">
        <f t="shared" si="4"/>
        <v>254.41</v>
      </c>
      <c r="I26" s="7">
        <f t="shared" si="4"/>
        <v>254.41</v>
      </c>
      <c r="J26" s="7"/>
    </row>
    <row r="27" spans="1:10" x14ac:dyDescent="0.2">
      <c r="C27" s="7"/>
      <c r="D27" s="7"/>
      <c r="E27" s="7"/>
      <c r="F27" s="7"/>
      <c r="G27" s="7"/>
      <c r="H27" s="7"/>
      <c r="I27" s="7"/>
      <c r="J27" s="7"/>
    </row>
    <row r="28" spans="1:10" x14ac:dyDescent="0.2">
      <c r="A28" s="1" t="s">
        <v>4</v>
      </c>
      <c r="C28" s="2">
        <f>C26*C14/1000</f>
        <v>161.92757897160001</v>
      </c>
      <c r="D28" s="2">
        <f t="shared" ref="D28:I28" si="5">D26*D14/1000</f>
        <v>171.16510552876798</v>
      </c>
      <c r="E28" s="2">
        <f t="shared" si="5"/>
        <v>180.67837914734397</v>
      </c>
      <c r="F28" s="2">
        <f t="shared" si="5"/>
        <v>196.53383517830403</v>
      </c>
      <c r="G28" s="2">
        <f t="shared" si="5"/>
        <v>212.94078533208</v>
      </c>
      <c r="H28" s="2">
        <f t="shared" si="5"/>
        <v>229.89922960867196</v>
      </c>
      <c r="I28" s="2">
        <f t="shared" si="5"/>
        <v>247.40916800808</v>
      </c>
      <c r="J28" s="2"/>
    </row>
    <row r="29" spans="1:10" x14ac:dyDescent="0.2">
      <c r="A29" s="1" t="s">
        <v>5</v>
      </c>
      <c r="C29" s="2">
        <v>20</v>
      </c>
      <c r="D29" s="2">
        <v>20</v>
      </c>
      <c r="E29" s="2">
        <v>20</v>
      </c>
      <c r="F29" s="2">
        <v>20</v>
      </c>
      <c r="G29" s="2">
        <v>20</v>
      </c>
      <c r="H29" s="2">
        <v>20</v>
      </c>
      <c r="I29" s="2">
        <v>20</v>
      </c>
      <c r="J29" s="2"/>
    </row>
    <row r="30" spans="1:10" x14ac:dyDescent="0.2">
      <c r="A30" s="1" t="s">
        <v>56</v>
      </c>
      <c r="C30" s="2">
        <v>10</v>
      </c>
      <c r="D30" s="2">
        <v>10</v>
      </c>
      <c r="E30" s="2">
        <v>10</v>
      </c>
      <c r="F30" s="2">
        <v>10</v>
      </c>
      <c r="G30" s="2">
        <v>10</v>
      </c>
      <c r="H30" s="2">
        <v>10</v>
      </c>
      <c r="I30" s="2">
        <v>10</v>
      </c>
      <c r="J30" s="2"/>
    </row>
    <row r="31" spans="1:10" x14ac:dyDescent="0.2">
      <c r="C31" s="2"/>
      <c r="D31" s="2"/>
      <c r="E31" s="2"/>
      <c r="F31" s="2"/>
      <c r="G31" s="2"/>
      <c r="H31" s="2"/>
      <c r="I31" s="2"/>
      <c r="J31" s="2"/>
    </row>
    <row r="32" spans="1:10" x14ac:dyDescent="0.2">
      <c r="A32" s="1" t="s">
        <v>2</v>
      </c>
      <c r="C32" s="2">
        <f>SUM(C28:C31)</f>
        <v>191.92757897160001</v>
      </c>
      <c r="D32" s="2">
        <f t="shared" ref="D32:I32" si="6">SUM(D28:D31)</f>
        <v>201.16510552876798</v>
      </c>
      <c r="E32" s="2">
        <f t="shared" si="6"/>
        <v>210.67837914734397</v>
      </c>
      <c r="F32" s="2">
        <f t="shared" si="6"/>
        <v>226.53383517830403</v>
      </c>
      <c r="G32" s="2">
        <f t="shared" si="6"/>
        <v>242.94078533208</v>
      </c>
      <c r="H32" s="2">
        <f t="shared" si="6"/>
        <v>259.89922960867193</v>
      </c>
      <c r="I32" s="2">
        <f t="shared" si="6"/>
        <v>277.40916800807997</v>
      </c>
      <c r="J32" s="2"/>
    </row>
    <row r="33" spans="1:10" x14ac:dyDescent="0.2">
      <c r="A33" s="1" t="s">
        <v>19</v>
      </c>
      <c r="C33" s="2">
        <f t="shared" ref="C33:I33" si="7">C32*1%</f>
        <v>1.9192757897160002</v>
      </c>
      <c r="D33" s="2">
        <f t="shared" si="7"/>
        <v>2.0116510552876798</v>
      </c>
      <c r="E33" s="2">
        <f t="shared" si="7"/>
        <v>2.1067837914734397</v>
      </c>
      <c r="F33" s="2">
        <f t="shared" si="7"/>
        <v>2.2653383517830403</v>
      </c>
      <c r="G33" s="2">
        <f t="shared" si="7"/>
        <v>2.4294078533208001</v>
      </c>
      <c r="H33" s="2">
        <f t="shared" si="7"/>
        <v>2.5989922960867196</v>
      </c>
      <c r="I33" s="2">
        <f t="shared" si="7"/>
        <v>2.7740916800808</v>
      </c>
      <c r="J33" s="2"/>
    </row>
    <row r="34" spans="1:10" x14ac:dyDescent="0.2">
      <c r="C34" s="2"/>
      <c r="D34" s="2"/>
      <c r="E34" s="2"/>
      <c r="F34" s="2"/>
      <c r="G34" s="2"/>
      <c r="H34" s="2"/>
      <c r="I34" s="2"/>
      <c r="J34" s="2"/>
    </row>
    <row r="35" spans="1:10" x14ac:dyDescent="0.2">
      <c r="A35" s="1" t="s">
        <v>2</v>
      </c>
      <c r="C35" s="2">
        <f t="shared" ref="C35:I35" si="8">SUM(C32:C34)</f>
        <v>193.84685476131602</v>
      </c>
      <c r="D35" s="2">
        <f t="shared" si="8"/>
        <v>203.17675658405565</v>
      </c>
      <c r="E35" s="2">
        <f t="shared" si="8"/>
        <v>212.78516293881742</v>
      </c>
      <c r="F35" s="2">
        <f t="shared" si="8"/>
        <v>228.79917353008707</v>
      </c>
      <c r="G35" s="2">
        <f t="shared" si="8"/>
        <v>245.37019318540081</v>
      </c>
      <c r="H35" s="2">
        <f t="shared" si="8"/>
        <v>262.49822190475862</v>
      </c>
      <c r="I35" s="2">
        <f t="shared" si="8"/>
        <v>280.18325968816077</v>
      </c>
      <c r="J35" s="2"/>
    </row>
    <row r="36" spans="1:10" x14ac:dyDescent="0.2">
      <c r="A36" s="1" t="s">
        <v>42</v>
      </c>
      <c r="C36" s="2">
        <f>C35*20%</f>
        <v>38.769370952263209</v>
      </c>
      <c r="D36" s="2">
        <f t="shared" ref="D36:I36" si="9">D35*20%</f>
        <v>40.635351316811132</v>
      </c>
      <c r="E36" s="2">
        <f t="shared" si="9"/>
        <v>42.557032587763487</v>
      </c>
      <c r="F36" s="2">
        <f t="shared" si="9"/>
        <v>45.759834706017415</v>
      </c>
      <c r="G36" s="2">
        <f t="shared" si="9"/>
        <v>49.074038637080164</v>
      </c>
      <c r="H36" s="2">
        <f t="shared" si="9"/>
        <v>52.499644380951729</v>
      </c>
      <c r="I36" s="2">
        <f t="shared" si="9"/>
        <v>56.036651937632158</v>
      </c>
      <c r="J36" s="2"/>
    </row>
    <row r="37" spans="1:10" x14ac:dyDescent="0.2">
      <c r="C37" s="2"/>
      <c r="D37" s="2"/>
      <c r="E37" s="2"/>
      <c r="F37" s="2"/>
      <c r="G37" s="2"/>
      <c r="H37" s="2"/>
      <c r="I37" s="2"/>
      <c r="J37" s="2"/>
    </row>
    <row r="38" spans="1:10" x14ac:dyDescent="0.2">
      <c r="A38" s="1" t="s">
        <v>6</v>
      </c>
      <c r="C38" s="2">
        <f t="shared" ref="C38:I38" si="10">SUM(C35:C37)</f>
        <v>232.61622571357924</v>
      </c>
      <c r="D38" s="2">
        <f t="shared" si="10"/>
        <v>243.81210790086678</v>
      </c>
      <c r="E38" s="2">
        <f t="shared" si="10"/>
        <v>255.34219552658089</v>
      </c>
      <c r="F38" s="2">
        <f t="shared" si="10"/>
        <v>274.55900823610449</v>
      </c>
      <c r="G38" s="2">
        <f t="shared" si="10"/>
        <v>294.44423182248096</v>
      </c>
      <c r="H38" s="2">
        <f t="shared" si="10"/>
        <v>314.99786628571036</v>
      </c>
      <c r="I38" s="2">
        <f t="shared" si="10"/>
        <v>336.21991162579292</v>
      </c>
      <c r="J38" s="2"/>
    </row>
    <row r="39" spans="1:10" x14ac:dyDescent="0.2">
      <c r="C39" s="2"/>
      <c r="D39" s="2"/>
      <c r="E39" s="2"/>
      <c r="F39" s="2"/>
      <c r="G39" s="2"/>
      <c r="H39" s="2"/>
      <c r="I39" s="2"/>
      <c r="J39" s="2"/>
    </row>
    <row r="40" spans="1:10" x14ac:dyDescent="0.2">
      <c r="A40" s="1" t="s">
        <v>57</v>
      </c>
      <c r="C40" s="2">
        <f>C38/90</f>
        <v>2.5846247301508805</v>
      </c>
      <c r="D40" s="2">
        <f t="shared" ref="D40:I40" si="11">D38/90</f>
        <v>2.709023421120742</v>
      </c>
      <c r="E40" s="2">
        <f t="shared" si="11"/>
        <v>2.8371355058508989</v>
      </c>
      <c r="F40" s="2">
        <f t="shared" si="11"/>
        <v>3.0506556470678277</v>
      </c>
      <c r="G40" s="2">
        <f t="shared" si="11"/>
        <v>3.271602575805344</v>
      </c>
      <c r="H40" s="2">
        <f t="shared" si="11"/>
        <v>3.4999762920634483</v>
      </c>
      <c r="I40" s="2">
        <f t="shared" si="11"/>
        <v>3.7357767958421437</v>
      </c>
      <c r="J40" s="2"/>
    </row>
    <row r="41" spans="1:10" x14ac:dyDescent="0.2">
      <c r="C41" s="2"/>
      <c r="D41" s="2"/>
      <c r="E41" s="2"/>
      <c r="F41" s="2"/>
      <c r="G41" s="2"/>
      <c r="H41" s="2"/>
      <c r="I41" s="2"/>
      <c r="J41" s="2"/>
    </row>
    <row r="42" spans="1:10" x14ac:dyDescent="0.2">
      <c r="A42" s="1" t="s">
        <v>58</v>
      </c>
      <c r="C42" s="2">
        <f>0.07+0.11</f>
        <v>0.18</v>
      </c>
      <c r="D42" s="2">
        <f t="shared" ref="D42:I42" si="12">0.07+0.11</f>
        <v>0.18</v>
      </c>
      <c r="E42" s="2">
        <f t="shared" si="12"/>
        <v>0.18</v>
      </c>
      <c r="F42" s="2">
        <f t="shared" si="12"/>
        <v>0.18</v>
      </c>
      <c r="G42" s="2">
        <f t="shared" si="12"/>
        <v>0.18</v>
      </c>
      <c r="H42" s="2">
        <f t="shared" si="12"/>
        <v>0.18</v>
      </c>
      <c r="I42" s="2">
        <f t="shared" si="12"/>
        <v>0.18</v>
      </c>
      <c r="J42" s="2"/>
    </row>
    <row r="43" spans="1:10" x14ac:dyDescent="0.2">
      <c r="C43" s="2"/>
      <c r="D43" s="2"/>
      <c r="E43" s="2"/>
      <c r="F43" s="2"/>
      <c r="G43" s="2"/>
      <c r="H43" s="2"/>
      <c r="I43" s="2"/>
      <c r="J43" s="2"/>
    </row>
    <row r="44" spans="1:10" x14ac:dyDescent="0.2">
      <c r="A44" s="1" t="s">
        <v>59</v>
      </c>
      <c r="C44" s="2">
        <f>SUM(C40:C43)</f>
        <v>2.7646247301508806</v>
      </c>
      <c r="D44" s="2">
        <f t="shared" ref="D44:I44" si="13">SUM(D40:D43)</f>
        <v>2.8890234211207422</v>
      </c>
      <c r="E44" s="2">
        <f t="shared" si="13"/>
        <v>3.0171355058508991</v>
      </c>
      <c r="F44" s="2">
        <f t="shared" si="13"/>
        <v>3.2306556470678278</v>
      </c>
      <c r="G44" s="2">
        <f t="shared" si="13"/>
        <v>3.4516025758053441</v>
      </c>
      <c r="H44" s="2">
        <f t="shared" si="13"/>
        <v>3.6799762920634485</v>
      </c>
      <c r="I44" s="2">
        <f t="shared" si="13"/>
        <v>3.9157767958421439</v>
      </c>
    </row>
    <row r="45" spans="1:10" s="6" customFormat="1" x14ac:dyDescent="0.2">
      <c r="C45" s="5"/>
      <c r="D45" s="5"/>
      <c r="E45" s="5"/>
      <c r="F45" s="5"/>
      <c r="G45" s="5"/>
      <c r="H45" s="5"/>
      <c r="I45" s="5"/>
    </row>
    <row r="46" spans="1:10" x14ac:dyDescent="0.2">
      <c r="C46" s="2"/>
      <c r="D46" s="2"/>
      <c r="E46" s="2"/>
      <c r="F46" s="2"/>
      <c r="G46" s="2"/>
      <c r="H46" s="2"/>
      <c r="I46" s="2"/>
    </row>
    <row r="47" spans="1:10" x14ac:dyDescent="0.2">
      <c r="C47" s="2"/>
      <c r="D47" s="2"/>
      <c r="E47" s="2"/>
      <c r="F47" s="2"/>
      <c r="G47" s="2"/>
      <c r="H47" s="2"/>
      <c r="I47" s="2"/>
    </row>
    <row r="48" spans="1:10" x14ac:dyDescent="0.2">
      <c r="C48" s="2"/>
      <c r="D48" s="2"/>
      <c r="E48" s="2"/>
      <c r="F48" s="2"/>
      <c r="G48" s="2"/>
      <c r="H48" s="2"/>
      <c r="I48" s="2"/>
    </row>
    <row r="49" spans="3:9" x14ac:dyDescent="0.2">
      <c r="C49" s="2"/>
      <c r="D49" s="2"/>
      <c r="E49" s="2"/>
      <c r="F49" s="2"/>
      <c r="G49" s="2"/>
      <c r="H49" s="2"/>
      <c r="I49" s="2"/>
    </row>
    <row r="50" spans="3:9" x14ac:dyDescent="0.2">
      <c r="C50" s="2"/>
      <c r="D50" s="2"/>
      <c r="E50" s="2"/>
      <c r="F50" s="2"/>
      <c r="G50" s="2"/>
      <c r="H50" s="2"/>
      <c r="I50" s="2"/>
    </row>
    <row r="51" spans="3:9" x14ac:dyDescent="0.2">
      <c r="C51" s="2"/>
      <c r="D51" s="2"/>
      <c r="E51" s="2"/>
      <c r="F51" s="2"/>
      <c r="G51" s="2"/>
      <c r="H51" s="2"/>
      <c r="I51" s="2"/>
    </row>
    <row r="52" spans="3:9" x14ac:dyDescent="0.2">
      <c r="C52" s="2"/>
      <c r="D52" s="2"/>
      <c r="E52" s="2"/>
      <c r="F52" s="2"/>
      <c r="G52" s="2"/>
      <c r="H52" s="2"/>
      <c r="I52" s="2"/>
    </row>
    <row r="53" spans="3:9" x14ac:dyDescent="0.2">
      <c r="C53" s="2"/>
      <c r="D53" s="2"/>
      <c r="E53" s="2"/>
      <c r="F53" s="2"/>
      <c r="G53" s="2"/>
      <c r="H53" s="2"/>
      <c r="I53" s="2"/>
    </row>
    <row r="54" spans="3:9" x14ac:dyDescent="0.2">
      <c r="C54" s="2"/>
      <c r="D54" s="2"/>
      <c r="E54" s="2"/>
      <c r="F54" s="2"/>
      <c r="G54" s="2"/>
      <c r="H54" s="2"/>
      <c r="I54" s="2"/>
    </row>
    <row r="55" spans="3:9" x14ac:dyDescent="0.2">
      <c r="C55" s="2"/>
      <c r="D55" s="2"/>
    </row>
    <row r="56" spans="3:9" x14ac:dyDescent="0.2">
      <c r="C56" s="2"/>
      <c r="D56" s="2"/>
    </row>
    <row r="57" spans="3:9" x14ac:dyDescent="0.2">
      <c r="C57" s="2"/>
      <c r="D57" s="2"/>
    </row>
    <row r="58" spans="3:9" x14ac:dyDescent="0.2">
      <c r="C58" s="2"/>
      <c r="D58" s="2"/>
    </row>
    <row r="59" spans="3:9" x14ac:dyDescent="0.2">
      <c r="C59" s="2"/>
      <c r="D59" s="2"/>
    </row>
    <row r="60" spans="3:9" x14ac:dyDescent="0.2">
      <c r="C60" s="2"/>
      <c r="D60" s="2"/>
    </row>
    <row r="61" spans="3:9" x14ac:dyDescent="0.2">
      <c r="C61" s="2"/>
      <c r="D61" s="2"/>
    </row>
    <row r="62" spans="3:9" x14ac:dyDescent="0.2">
      <c r="C62" s="2"/>
      <c r="D62" s="2"/>
    </row>
    <row r="63" spans="3:9" x14ac:dyDescent="0.2">
      <c r="C63" s="2"/>
      <c r="D63" s="2"/>
    </row>
    <row r="64" spans="3:9" x14ac:dyDescent="0.2">
      <c r="C64" s="10"/>
      <c r="D64" s="10"/>
    </row>
    <row r="65" spans="3:4" x14ac:dyDescent="0.2">
      <c r="C65" s="2"/>
      <c r="D65" s="2"/>
    </row>
    <row r="66" spans="3:4" x14ac:dyDescent="0.2">
      <c r="C66" s="10"/>
      <c r="D66" s="10"/>
    </row>
    <row r="67" spans="3:4" x14ac:dyDescent="0.2">
      <c r="C67" s="2"/>
      <c r="D67" s="2"/>
    </row>
    <row r="68" spans="3:4" x14ac:dyDescent="0.2">
      <c r="C68" s="10"/>
      <c r="D68" s="10"/>
    </row>
    <row r="69" spans="3:4" x14ac:dyDescent="0.2">
      <c r="C69" s="2"/>
      <c r="D69" s="2"/>
    </row>
    <row r="70" spans="3:4" x14ac:dyDescent="0.2">
      <c r="C70" s="2"/>
      <c r="D70" s="2"/>
    </row>
  </sheetData>
  <pageMargins left="0.39370078740157483" right="0.39370078740157483" top="0.39370078740157483" bottom="0.39370078740157483" header="0.39370078740157483" footer="0.39370078740157483"/>
  <pageSetup paperSize="9" scale="74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B2974F-7DD1-4B2F-89CD-614D4A9699DA}">
  <sheetPr>
    <pageSetUpPr fitToPage="1"/>
  </sheetPr>
  <dimension ref="A1:K70"/>
  <sheetViews>
    <sheetView topLeftCell="A34" zoomScaleNormal="100" workbookViewId="0">
      <selection activeCell="I44" sqref="I44:J44"/>
    </sheetView>
  </sheetViews>
  <sheetFormatPr defaultColWidth="9.14453125" defaultRowHeight="15" x14ac:dyDescent="0.2"/>
  <cols>
    <col min="1" max="1" width="18.16015625" style="1" bestFit="1" customWidth="1"/>
    <col min="2" max="2" width="5.6484375" style="1" customWidth="1"/>
    <col min="3" max="10" width="17.21875" style="1" bestFit="1" customWidth="1"/>
    <col min="11" max="11" width="13.85546875" style="1" bestFit="1" customWidth="1"/>
    <col min="12" max="16384" width="9.14453125" style="1"/>
  </cols>
  <sheetData>
    <row r="1" spans="1:11" ht="30" customHeight="1" x14ac:dyDescent="0.2">
      <c r="A1" s="1" t="s">
        <v>28</v>
      </c>
      <c r="C1" s="9" t="s">
        <v>69</v>
      </c>
      <c r="D1" s="9" t="s">
        <v>69</v>
      </c>
      <c r="E1" s="9" t="s">
        <v>69</v>
      </c>
      <c r="F1" s="9" t="s">
        <v>69</v>
      </c>
      <c r="G1" s="9" t="s">
        <v>69</v>
      </c>
      <c r="H1" s="9" t="s">
        <v>69</v>
      </c>
      <c r="I1" s="9" t="s">
        <v>69</v>
      </c>
      <c r="J1" s="9" t="s">
        <v>69</v>
      </c>
      <c r="K1" s="9"/>
    </row>
    <row r="2" spans="1:11" x14ac:dyDescent="0.2">
      <c r="A2" s="1" t="s">
        <v>0</v>
      </c>
      <c r="C2" s="1" t="s">
        <v>68</v>
      </c>
      <c r="D2" s="1" t="s">
        <v>68</v>
      </c>
      <c r="E2" s="1" t="s">
        <v>68</v>
      </c>
      <c r="F2" s="1" t="s">
        <v>68</v>
      </c>
      <c r="G2" s="1" t="s">
        <v>68</v>
      </c>
      <c r="H2" s="1" t="s">
        <v>68</v>
      </c>
      <c r="I2" s="1" t="s">
        <v>68</v>
      </c>
      <c r="J2" s="1" t="s">
        <v>68</v>
      </c>
    </row>
    <row r="3" spans="1:11" x14ac:dyDescent="0.2">
      <c r="A3" s="1" t="s">
        <v>1</v>
      </c>
      <c r="C3" s="1">
        <v>280</v>
      </c>
      <c r="D3" s="1">
        <v>280</v>
      </c>
      <c r="E3" s="1">
        <v>280</v>
      </c>
      <c r="F3" s="1">
        <v>280</v>
      </c>
      <c r="G3" s="1">
        <v>280</v>
      </c>
      <c r="H3" s="1">
        <v>280</v>
      </c>
      <c r="I3" s="1">
        <v>280</v>
      </c>
      <c r="J3" s="1">
        <v>280</v>
      </c>
    </row>
    <row r="4" spans="1:11" x14ac:dyDescent="0.2">
      <c r="C4" s="1" t="s">
        <v>60</v>
      </c>
      <c r="D4" s="1" t="s">
        <v>61</v>
      </c>
      <c r="E4" s="1" t="s">
        <v>78</v>
      </c>
      <c r="F4" s="1" t="s">
        <v>63</v>
      </c>
      <c r="G4" s="1" t="s">
        <v>64</v>
      </c>
      <c r="H4" s="1" t="s">
        <v>65</v>
      </c>
      <c r="I4" s="1" t="s">
        <v>66</v>
      </c>
      <c r="J4" s="1" t="s">
        <v>67</v>
      </c>
    </row>
    <row r="6" spans="1:11" x14ac:dyDescent="0.2">
      <c r="A6" s="1" t="s">
        <v>10</v>
      </c>
      <c r="C6" s="1">
        <v>26</v>
      </c>
      <c r="D6" s="1">
        <v>28</v>
      </c>
      <c r="E6" s="1">
        <v>30</v>
      </c>
      <c r="F6" s="1">
        <v>32</v>
      </c>
      <c r="G6" s="1">
        <v>34</v>
      </c>
      <c r="H6" s="1">
        <v>36</v>
      </c>
      <c r="I6" s="1">
        <v>38</v>
      </c>
      <c r="J6" s="1">
        <v>40</v>
      </c>
    </row>
    <row r="7" spans="1:11" x14ac:dyDescent="0.2">
      <c r="A7" s="1" t="s">
        <v>12</v>
      </c>
      <c r="C7" s="1">
        <v>31.5</v>
      </c>
      <c r="D7" s="1">
        <v>32.5</v>
      </c>
      <c r="E7" s="1">
        <v>33.5</v>
      </c>
      <c r="F7" s="1">
        <v>34.5</v>
      </c>
      <c r="G7" s="1">
        <v>35.5</v>
      </c>
      <c r="H7" s="1">
        <v>36.5</v>
      </c>
      <c r="I7" s="1">
        <v>37.5</v>
      </c>
      <c r="J7" s="1">
        <v>38.5</v>
      </c>
    </row>
    <row r="8" spans="1:11" x14ac:dyDescent="0.2">
      <c r="A8" s="1" t="s">
        <v>77</v>
      </c>
      <c r="C8" s="1">
        <v>27</v>
      </c>
      <c r="D8" s="1">
        <v>27.5</v>
      </c>
      <c r="E8" s="1">
        <v>28</v>
      </c>
      <c r="F8" s="1">
        <v>28.5</v>
      </c>
      <c r="G8" s="1">
        <v>29</v>
      </c>
      <c r="H8" s="1">
        <v>29.5</v>
      </c>
      <c r="I8" s="1">
        <v>30</v>
      </c>
      <c r="J8" s="1">
        <v>30.5</v>
      </c>
    </row>
    <row r="10" spans="1:11" x14ac:dyDescent="0.2">
      <c r="A10" s="1" t="s">
        <v>14</v>
      </c>
      <c r="C10" s="7">
        <f>(C6+1)*(C7+C8+3)*2*2.54*2.54/10000*C3</f>
        <v>599.92138080000007</v>
      </c>
      <c r="D10" s="7">
        <f t="shared" ref="D10:I10" si="0">(D6+1)*(D7+D8+3)*2*2.54*2.54/10000*D3</f>
        <v>660.07609920000004</v>
      </c>
      <c r="E10" s="7">
        <f t="shared" si="0"/>
        <v>722.39855519999992</v>
      </c>
      <c r="F10" s="7">
        <f t="shared" si="0"/>
        <v>786.88874880000003</v>
      </c>
      <c r="G10" s="7">
        <f t="shared" si="0"/>
        <v>853.54668000000004</v>
      </c>
      <c r="H10" s="7">
        <f t="shared" si="0"/>
        <v>922.37234879999994</v>
      </c>
      <c r="I10" s="7">
        <f t="shared" si="0"/>
        <v>993.36575520000008</v>
      </c>
      <c r="J10" s="7">
        <f t="shared" ref="J10" si="1">(J6+1)*(J7+J8+3)*2*2.54*2.54/10000*J3</f>
        <v>1066.5268992000001</v>
      </c>
      <c r="K10" s="7"/>
    </row>
    <row r="11" spans="1:11" x14ac:dyDescent="0.2">
      <c r="A11" s="1" t="s">
        <v>21</v>
      </c>
      <c r="C11" s="7">
        <v>6</v>
      </c>
      <c r="D11" s="7">
        <v>6</v>
      </c>
      <c r="E11" s="7">
        <v>6</v>
      </c>
      <c r="F11" s="7">
        <v>6</v>
      </c>
      <c r="G11" s="7">
        <v>6</v>
      </c>
      <c r="H11" s="7">
        <v>6</v>
      </c>
      <c r="I11" s="7">
        <v>6</v>
      </c>
      <c r="J11" s="7">
        <v>6</v>
      </c>
      <c r="K11" s="7"/>
    </row>
    <row r="12" spans="1:11" x14ac:dyDescent="0.2">
      <c r="A12" s="1" t="s">
        <v>13</v>
      </c>
      <c r="C12" s="7">
        <v>75</v>
      </c>
      <c r="D12" s="7">
        <v>75</v>
      </c>
      <c r="E12" s="7">
        <v>75</v>
      </c>
      <c r="F12" s="7">
        <v>75</v>
      </c>
      <c r="G12" s="7">
        <v>75</v>
      </c>
      <c r="H12" s="7">
        <v>75</v>
      </c>
      <c r="I12" s="7">
        <v>75</v>
      </c>
      <c r="J12" s="7">
        <v>75</v>
      </c>
      <c r="K12" s="7"/>
    </row>
    <row r="14" spans="1:11" x14ac:dyDescent="0.2">
      <c r="A14" s="1" t="s">
        <v>15</v>
      </c>
      <c r="C14" s="7">
        <f t="shared" ref="C14:I14" si="2">SUM(C10:C13)</f>
        <v>680.92138080000007</v>
      </c>
      <c r="D14" s="7">
        <f t="shared" si="2"/>
        <v>741.07609920000004</v>
      </c>
      <c r="E14" s="7">
        <f t="shared" si="2"/>
        <v>803.39855519999992</v>
      </c>
      <c r="F14" s="7">
        <f t="shared" si="2"/>
        <v>867.88874880000003</v>
      </c>
      <c r="G14" s="7">
        <f t="shared" si="2"/>
        <v>934.54668000000004</v>
      </c>
      <c r="H14" s="7">
        <f t="shared" si="2"/>
        <v>1003.3723487999999</v>
      </c>
      <c r="I14" s="7">
        <f t="shared" si="2"/>
        <v>1074.3657552</v>
      </c>
      <c r="J14" s="7">
        <f t="shared" ref="J14" si="3">SUM(J10:J13)</f>
        <v>1147.5268992000001</v>
      </c>
      <c r="K14" s="7"/>
    </row>
    <row r="16" spans="1:11" x14ac:dyDescent="0.2">
      <c r="A16" s="1" t="s">
        <v>16</v>
      </c>
      <c r="C16" s="7">
        <v>185</v>
      </c>
      <c r="D16" s="7">
        <v>185</v>
      </c>
      <c r="E16" s="7">
        <v>185</v>
      </c>
      <c r="F16" s="7">
        <v>185</v>
      </c>
      <c r="G16" s="7">
        <v>185</v>
      </c>
      <c r="H16" s="7">
        <v>185</v>
      </c>
      <c r="I16" s="7">
        <v>185</v>
      </c>
      <c r="J16" s="7">
        <v>185</v>
      </c>
      <c r="K16" s="7"/>
    </row>
    <row r="17" spans="1:11" x14ac:dyDescent="0.2">
      <c r="A17" s="1" t="s">
        <v>7</v>
      </c>
      <c r="C17" s="7">
        <v>14</v>
      </c>
      <c r="D17" s="7">
        <v>14</v>
      </c>
      <c r="E17" s="7">
        <v>14</v>
      </c>
      <c r="F17" s="7">
        <v>14</v>
      </c>
      <c r="G17" s="7">
        <v>14</v>
      </c>
      <c r="H17" s="7">
        <v>14</v>
      </c>
      <c r="I17" s="7">
        <v>14</v>
      </c>
      <c r="J17" s="7">
        <v>14</v>
      </c>
      <c r="K17" s="7"/>
    </row>
    <row r="18" spans="1:11" x14ac:dyDescent="0.2">
      <c r="A18" s="1" t="s">
        <v>55</v>
      </c>
      <c r="C18" s="7">
        <v>12</v>
      </c>
      <c r="D18" s="7">
        <v>12</v>
      </c>
      <c r="E18" s="7">
        <v>12</v>
      </c>
      <c r="F18" s="7">
        <v>12</v>
      </c>
      <c r="G18" s="7">
        <v>12</v>
      </c>
      <c r="H18" s="7">
        <v>12</v>
      </c>
      <c r="I18" s="7">
        <v>12</v>
      </c>
      <c r="J18" s="7">
        <v>12</v>
      </c>
      <c r="K18" s="7"/>
    </row>
    <row r="19" spans="1:11" x14ac:dyDescent="0.2">
      <c r="A19" s="1" t="s">
        <v>38</v>
      </c>
      <c r="C19" s="7">
        <v>18</v>
      </c>
      <c r="D19" s="7">
        <v>18</v>
      </c>
      <c r="E19" s="7">
        <v>18</v>
      </c>
      <c r="F19" s="7">
        <v>18</v>
      </c>
      <c r="G19" s="7">
        <v>18</v>
      </c>
      <c r="H19" s="7">
        <v>18</v>
      </c>
      <c r="I19" s="7">
        <v>18</v>
      </c>
      <c r="J19" s="7">
        <v>18</v>
      </c>
      <c r="K19" s="7"/>
    </row>
    <row r="20" spans="1:11" x14ac:dyDescent="0.2">
      <c r="A20" s="1" t="s">
        <v>79</v>
      </c>
      <c r="C20" s="7">
        <v>9</v>
      </c>
      <c r="D20" s="7">
        <v>9</v>
      </c>
      <c r="E20" s="7">
        <v>9</v>
      </c>
      <c r="F20" s="7">
        <v>9</v>
      </c>
      <c r="G20" s="7">
        <v>9</v>
      </c>
      <c r="H20" s="7">
        <v>9</v>
      </c>
      <c r="I20" s="7">
        <v>9</v>
      </c>
      <c r="J20" s="7">
        <v>9</v>
      </c>
      <c r="K20" s="7"/>
    </row>
    <row r="21" spans="1:11" x14ac:dyDescent="0.2">
      <c r="A21" s="1" t="s">
        <v>8</v>
      </c>
      <c r="C21" s="7">
        <v>9</v>
      </c>
      <c r="D21" s="7">
        <v>9</v>
      </c>
      <c r="E21" s="7">
        <v>9</v>
      </c>
      <c r="F21" s="7">
        <v>9</v>
      </c>
      <c r="G21" s="7">
        <v>9</v>
      </c>
      <c r="H21" s="7">
        <v>9</v>
      </c>
      <c r="I21" s="7">
        <v>9</v>
      </c>
      <c r="J21" s="7">
        <v>9</v>
      </c>
      <c r="K21" s="7"/>
    </row>
    <row r="22" spans="1:11" x14ac:dyDescent="0.2">
      <c r="C22" s="7"/>
      <c r="D22" s="7"/>
      <c r="E22" s="7"/>
      <c r="F22" s="7"/>
      <c r="G22" s="7"/>
      <c r="H22" s="7"/>
      <c r="I22" s="7"/>
      <c r="J22" s="7"/>
      <c r="K22" s="7"/>
    </row>
    <row r="23" spans="1:11" x14ac:dyDescent="0.2">
      <c r="A23" s="1" t="s">
        <v>2</v>
      </c>
      <c r="C23" s="7">
        <f>SUM(C16:C21)</f>
        <v>247</v>
      </c>
      <c r="D23" s="7">
        <f t="shared" ref="D23:I23" si="4">SUM(D16:D21)</f>
        <v>247</v>
      </c>
      <c r="E23" s="7">
        <f t="shared" si="4"/>
        <v>247</v>
      </c>
      <c r="F23" s="7">
        <f t="shared" si="4"/>
        <v>247</v>
      </c>
      <c r="G23" s="7">
        <f t="shared" si="4"/>
        <v>247</v>
      </c>
      <c r="H23" s="7">
        <f t="shared" si="4"/>
        <v>247</v>
      </c>
      <c r="I23" s="7">
        <f t="shared" si="4"/>
        <v>247</v>
      </c>
      <c r="J23" s="7">
        <f t="shared" ref="J23" si="5">SUM(J16:J21)</f>
        <v>247</v>
      </c>
      <c r="K23" s="7"/>
    </row>
    <row r="24" spans="1:11" x14ac:dyDescent="0.2">
      <c r="A24" s="1" t="s">
        <v>32</v>
      </c>
      <c r="C24" s="7">
        <f>C23*3%</f>
        <v>7.41</v>
      </c>
      <c r="D24" s="7">
        <f t="shared" ref="D24:J24" si="6">D23*3%</f>
        <v>7.41</v>
      </c>
      <c r="E24" s="7">
        <f t="shared" si="6"/>
        <v>7.41</v>
      </c>
      <c r="F24" s="7">
        <f t="shared" si="6"/>
        <v>7.41</v>
      </c>
      <c r="G24" s="7">
        <f t="shared" si="6"/>
        <v>7.41</v>
      </c>
      <c r="H24" s="7">
        <f t="shared" si="6"/>
        <v>7.41</v>
      </c>
      <c r="I24" s="7">
        <f t="shared" si="6"/>
        <v>7.41</v>
      </c>
      <c r="J24" s="7">
        <f t="shared" si="6"/>
        <v>7.41</v>
      </c>
      <c r="K24" s="7"/>
    </row>
    <row r="25" spans="1:11" x14ac:dyDescent="0.2">
      <c r="C25" s="7"/>
      <c r="D25" s="7"/>
      <c r="E25" s="7"/>
      <c r="F25" s="7"/>
      <c r="G25" s="7"/>
      <c r="H25" s="7"/>
      <c r="I25" s="7"/>
      <c r="J25" s="7"/>
      <c r="K25" s="7"/>
    </row>
    <row r="26" spans="1:11" s="8" customFormat="1" x14ac:dyDescent="0.2">
      <c r="A26" s="8" t="s">
        <v>3</v>
      </c>
      <c r="C26" s="7">
        <f t="shared" ref="C26:I26" si="7">SUM(C23:C25)</f>
        <v>254.41</v>
      </c>
      <c r="D26" s="7">
        <f t="shared" si="7"/>
        <v>254.41</v>
      </c>
      <c r="E26" s="7">
        <f t="shared" si="7"/>
        <v>254.41</v>
      </c>
      <c r="F26" s="7">
        <f t="shared" si="7"/>
        <v>254.41</v>
      </c>
      <c r="G26" s="7">
        <f t="shared" si="7"/>
        <v>254.41</v>
      </c>
      <c r="H26" s="7">
        <f t="shared" si="7"/>
        <v>254.41</v>
      </c>
      <c r="I26" s="7">
        <f t="shared" si="7"/>
        <v>254.41</v>
      </c>
      <c r="J26" s="7">
        <f t="shared" ref="J26" si="8">SUM(J23:J25)</f>
        <v>254.41</v>
      </c>
      <c r="K26" s="7"/>
    </row>
    <row r="27" spans="1:11" x14ac:dyDescent="0.2">
      <c r="C27" s="7"/>
      <c r="D27" s="7"/>
      <c r="E27" s="7"/>
      <c r="F27" s="7"/>
      <c r="G27" s="7"/>
      <c r="H27" s="7"/>
      <c r="I27" s="7"/>
      <c r="J27" s="7"/>
      <c r="K27" s="7"/>
    </row>
    <row r="28" spans="1:11" x14ac:dyDescent="0.2">
      <c r="A28" s="1" t="s">
        <v>4</v>
      </c>
      <c r="C28" s="2">
        <f>C26*C14/1000</f>
        <v>173.23320848932801</v>
      </c>
      <c r="D28" s="2">
        <f t="shared" ref="D28:I28" si="9">D26*D14/1000</f>
        <v>188.53717039747201</v>
      </c>
      <c r="E28" s="2">
        <f t="shared" si="9"/>
        <v>204.39262642843198</v>
      </c>
      <c r="F28" s="2">
        <f t="shared" si="9"/>
        <v>220.799576582208</v>
      </c>
      <c r="G28" s="2">
        <f t="shared" si="9"/>
        <v>237.75802085880002</v>
      </c>
      <c r="H28" s="2">
        <f t="shared" si="9"/>
        <v>255.26795925820798</v>
      </c>
      <c r="I28" s="2">
        <f t="shared" si="9"/>
        <v>273.32939178043199</v>
      </c>
      <c r="J28" s="2">
        <f t="shared" ref="J28" si="10">J26*J14/1000</f>
        <v>291.94231842547202</v>
      </c>
      <c r="K28" s="2"/>
    </row>
    <row r="29" spans="1:11" x14ac:dyDescent="0.2">
      <c r="A29" s="1" t="s">
        <v>5</v>
      </c>
      <c r="C29" s="2">
        <v>20</v>
      </c>
      <c r="D29" s="2">
        <v>20</v>
      </c>
      <c r="E29" s="2">
        <v>20</v>
      </c>
      <c r="F29" s="2">
        <v>20</v>
      </c>
      <c r="G29" s="2">
        <v>20</v>
      </c>
      <c r="H29" s="2">
        <v>20</v>
      </c>
      <c r="I29" s="2">
        <v>20</v>
      </c>
      <c r="J29" s="2">
        <v>20</v>
      </c>
      <c r="K29" s="2"/>
    </row>
    <row r="30" spans="1:11" x14ac:dyDescent="0.2">
      <c r="A30" s="1" t="s">
        <v>56</v>
      </c>
      <c r="C30" s="2">
        <v>10</v>
      </c>
      <c r="D30" s="2">
        <v>10</v>
      </c>
      <c r="E30" s="2">
        <v>10</v>
      </c>
      <c r="F30" s="2">
        <v>10</v>
      </c>
      <c r="G30" s="2">
        <v>10</v>
      </c>
      <c r="H30" s="2">
        <v>10</v>
      </c>
      <c r="I30" s="2">
        <v>10</v>
      </c>
      <c r="J30" s="2">
        <v>10</v>
      </c>
      <c r="K30" s="2"/>
    </row>
    <row r="31" spans="1:11" x14ac:dyDescent="0.2">
      <c r="C31" s="2"/>
      <c r="D31" s="2"/>
      <c r="E31" s="2"/>
      <c r="F31" s="2"/>
      <c r="G31" s="2"/>
      <c r="H31" s="2"/>
      <c r="I31" s="2"/>
      <c r="J31" s="2"/>
      <c r="K31" s="2"/>
    </row>
    <row r="32" spans="1:11" x14ac:dyDescent="0.2">
      <c r="A32" s="1" t="s">
        <v>2</v>
      </c>
      <c r="C32" s="2">
        <f>SUM(C28:C31)</f>
        <v>203.23320848932801</v>
      </c>
      <c r="D32" s="2">
        <f t="shared" ref="D32:J32" si="11">SUM(D28:D31)</f>
        <v>218.53717039747201</v>
      </c>
      <c r="E32" s="2">
        <f t="shared" si="11"/>
        <v>234.39262642843198</v>
      </c>
      <c r="F32" s="2">
        <f t="shared" si="11"/>
        <v>250.799576582208</v>
      </c>
      <c r="G32" s="2">
        <f t="shared" si="11"/>
        <v>267.75802085880002</v>
      </c>
      <c r="H32" s="2">
        <f t="shared" si="11"/>
        <v>285.26795925820795</v>
      </c>
      <c r="I32" s="2">
        <f t="shared" si="11"/>
        <v>303.32939178043199</v>
      </c>
      <c r="J32" s="2">
        <f t="shared" si="11"/>
        <v>321.94231842547202</v>
      </c>
      <c r="K32" s="2"/>
    </row>
    <row r="33" spans="1:11" x14ac:dyDescent="0.2">
      <c r="A33" s="1" t="s">
        <v>19</v>
      </c>
      <c r="C33" s="2">
        <f t="shared" ref="C33:I33" si="12">C32*1%</f>
        <v>2.0323320848932802</v>
      </c>
      <c r="D33" s="2">
        <f t="shared" si="12"/>
        <v>2.1853717039747202</v>
      </c>
      <c r="E33" s="2">
        <f t="shared" si="12"/>
        <v>2.3439262642843199</v>
      </c>
      <c r="F33" s="2">
        <f t="shared" si="12"/>
        <v>2.5079957658220802</v>
      </c>
      <c r="G33" s="2">
        <f t="shared" si="12"/>
        <v>2.6775802085880005</v>
      </c>
      <c r="H33" s="2">
        <f t="shared" si="12"/>
        <v>2.8526795925820796</v>
      </c>
      <c r="I33" s="2">
        <f t="shared" si="12"/>
        <v>3.0332939178043201</v>
      </c>
      <c r="J33" s="2">
        <f t="shared" ref="J33" si="13">J32*1%</f>
        <v>3.2194231842547203</v>
      </c>
      <c r="K33" s="2"/>
    </row>
    <row r="34" spans="1:11" x14ac:dyDescent="0.2">
      <c r="C34" s="2"/>
      <c r="D34" s="2"/>
      <c r="E34" s="2"/>
      <c r="F34" s="2"/>
      <c r="G34" s="2"/>
      <c r="H34" s="2"/>
      <c r="I34" s="2"/>
      <c r="J34" s="2"/>
      <c r="K34" s="2"/>
    </row>
    <row r="35" spans="1:11" x14ac:dyDescent="0.2">
      <c r="A35" s="1" t="s">
        <v>2</v>
      </c>
      <c r="C35" s="2">
        <f t="shared" ref="C35:I35" si="14">SUM(C32:C34)</f>
        <v>205.26554057422129</v>
      </c>
      <c r="D35" s="2">
        <f t="shared" si="14"/>
        <v>220.72254210144672</v>
      </c>
      <c r="E35" s="2">
        <f t="shared" si="14"/>
        <v>236.73655269271629</v>
      </c>
      <c r="F35" s="2">
        <f t="shared" si="14"/>
        <v>253.30757234803008</v>
      </c>
      <c r="G35" s="2">
        <f t="shared" si="14"/>
        <v>270.43560106738801</v>
      </c>
      <c r="H35" s="2">
        <f t="shared" si="14"/>
        <v>288.12063885079004</v>
      </c>
      <c r="I35" s="2">
        <f t="shared" si="14"/>
        <v>306.36268569823631</v>
      </c>
      <c r="J35" s="2">
        <f t="shared" ref="J35" si="15">SUM(J32:J34)</f>
        <v>325.16174160972673</v>
      </c>
      <c r="K35" s="2"/>
    </row>
    <row r="36" spans="1:11" x14ac:dyDescent="0.2">
      <c r="A36" s="1" t="s">
        <v>42</v>
      </c>
      <c r="C36" s="2">
        <f>C35*20%</f>
        <v>41.053108114844264</v>
      </c>
      <c r="D36" s="2">
        <f t="shared" ref="D36:J36" si="16">D35*20%</f>
        <v>44.144508420289348</v>
      </c>
      <c r="E36" s="2">
        <f t="shared" si="16"/>
        <v>47.347310538543262</v>
      </c>
      <c r="F36" s="2">
        <f t="shared" si="16"/>
        <v>50.661514469606018</v>
      </c>
      <c r="G36" s="2">
        <f t="shared" si="16"/>
        <v>54.087120213477604</v>
      </c>
      <c r="H36" s="2">
        <f t="shared" si="16"/>
        <v>57.624127770158012</v>
      </c>
      <c r="I36" s="2">
        <f t="shared" si="16"/>
        <v>61.272537139647262</v>
      </c>
      <c r="J36" s="2">
        <f t="shared" si="16"/>
        <v>65.032348321945349</v>
      </c>
      <c r="K36" s="2"/>
    </row>
    <row r="37" spans="1:11" x14ac:dyDescent="0.2">
      <c r="C37" s="2"/>
      <c r="D37" s="2"/>
      <c r="E37" s="2"/>
      <c r="F37" s="2"/>
      <c r="G37" s="2"/>
      <c r="H37" s="2"/>
      <c r="I37" s="2"/>
      <c r="J37" s="2"/>
      <c r="K37" s="2"/>
    </row>
    <row r="38" spans="1:11" x14ac:dyDescent="0.2">
      <c r="A38" s="1" t="s">
        <v>6</v>
      </c>
      <c r="C38" s="2">
        <f t="shared" ref="C38:I38" si="17">SUM(C35:C37)</f>
        <v>246.31864868906555</v>
      </c>
      <c r="D38" s="2">
        <f t="shared" si="17"/>
        <v>264.86705052173608</v>
      </c>
      <c r="E38" s="2">
        <f t="shared" si="17"/>
        <v>284.08386323125956</v>
      </c>
      <c r="F38" s="2">
        <f t="shared" si="17"/>
        <v>303.96908681763608</v>
      </c>
      <c r="G38" s="2">
        <f t="shared" si="17"/>
        <v>324.5227212808656</v>
      </c>
      <c r="H38" s="2">
        <f t="shared" si="17"/>
        <v>345.74476662094804</v>
      </c>
      <c r="I38" s="2">
        <f t="shared" si="17"/>
        <v>367.63522283788359</v>
      </c>
      <c r="J38" s="2">
        <f t="shared" ref="J38" si="18">SUM(J35:J37)</f>
        <v>390.19408993167207</v>
      </c>
      <c r="K38" s="2"/>
    </row>
    <row r="39" spans="1:11" x14ac:dyDescent="0.2">
      <c r="C39" s="2"/>
      <c r="D39" s="2"/>
      <c r="E39" s="2"/>
      <c r="F39" s="2"/>
      <c r="G39" s="2"/>
      <c r="H39" s="2"/>
      <c r="I39" s="2"/>
      <c r="J39" s="2"/>
      <c r="K39" s="2"/>
    </row>
    <row r="40" spans="1:11" x14ac:dyDescent="0.2">
      <c r="A40" s="1" t="s">
        <v>57</v>
      </c>
      <c r="C40" s="2">
        <f>C38/90</f>
        <v>2.7368738743229506</v>
      </c>
      <c r="D40" s="2">
        <f t="shared" ref="D40:I40" si="19">D38/90</f>
        <v>2.9429672280192896</v>
      </c>
      <c r="E40" s="2">
        <f t="shared" si="19"/>
        <v>3.1564873692362174</v>
      </c>
      <c r="F40" s="2">
        <f t="shared" si="19"/>
        <v>3.3774342979737342</v>
      </c>
      <c r="G40" s="2">
        <f t="shared" si="19"/>
        <v>3.6058080142318398</v>
      </c>
      <c r="H40" s="2">
        <f t="shared" si="19"/>
        <v>3.8416085180105339</v>
      </c>
      <c r="I40" s="2">
        <f t="shared" si="19"/>
        <v>4.0848358093098174</v>
      </c>
      <c r="J40" s="2">
        <f t="shared" ref="J40" si="20">J38/90</f>
        <v>4.3354898881296897</v>
      </c>
      <c r="K40" s="2"/>
    </row>
    <row r="41" spans="1:11" x14ac:dyDescent="0.2">
      <c r="C41" s="2"/>
      <c r="D41" s="2"/>
      <c r="E41" s="2"/>
      <c r="F41" s="2"/>
      <c r="G41" s="2"/>
      <c r="H41" s="2"/>
      <c r="I41" s="2"/>
      <c r="J41" s="2"/>
      <c r="K41" s="2"/>
    </row>
    <row r="42" spans="1:11" x14ac:dyDescent="0.2">
      <c r="A42" s="1" t="s">
        <v>58</v>
      </c>
      <c r="C42" s="2">
        <f>0.07+0.11</f>
        <v>0.18</v>
      </c>
      <c r="D42" s="2">
        <f t="shared" ref="D42:J42" si="21">0.07+0.11</f>
        <v>0.18</v>
      </c>
      <c r="E42" s="2">
        <f t="shared" si="21"/>
        <v>0.18</v>
      </c>
      <c r="F42" s="2">
        <f t="shared" si="21"/>
        <v>0.18</v>
      </c>
      <c r="G42" s="2">
        <f t="shared" si="21"/>
        <v>0.18</v>
      </c>
      <c r="H42" s="2">
        <f t="shared" si="21"/>
        <v>0.18</v>
      </c>
      <c r="I42" s="2">
        <f t="shared" si="21"/>
        <v>0.18</v>
      </c>
      <c r="J42" s="2">
        <f t="shared" si="21"/>
        <v>0.18</v>
      </c>
      <c r="K42" s="2"/>
    </row>
    <row r="43" spans="1:11" x14ac:dyDescent="0.2">
      <c r="C43" s="2"/>
      <c r="D43" s="2"/>
      <c r="E43" s="2"/>
      <c r="F43" s="2"/>
      <c r="G43" s="2"/>
      <c r="H43" s="2"/>
      <c r="I43" s="2"/>
      <c r="J43" s="2"/>
      <c r="K43" s="2"/>
    </row>
    <row r="44" spans="1:11" x14ac:dyDescent="0.2">
      <c r="A44" s="1" t="s">
        <v>59</v>
      </c>
      <c r="C44" s="2">
        <f>SUM(C40:C43)</f>
        <v>2.9168738743229508</v>
      </c>
      <c r="D44" s="2">
        <f t="shared" ref="D44:J44" si="22">SUM(D40:D43)</f>
        <v>3.1229672280192897</v>
      </c>
      <c r="E44" s="2">
        <f t="shared" si="22"/>
        <v>3.3364873692362176</v>
      </c>
      <c r="F44" s="2">
        <f t="shared" si="22"/>
        <v>3.5574342979737343</v>
      </c>
      <c r="G44" s="2">
        <f t="shared" si="22"/>
        <v>3.78580801423184</v>
      </c>
      <c r="H44" s="2">
        <f t="shared" si="22"/>
        <v>4.0216085180105337</v>
      </c>
      <c r="I44" s="2">
        <f t="shared" si="22"/>
        <v>4.2648358093098171</v>
      </c>
      <c r="J44" s="2">
        <f t="shared" si="22"/>
        <v>4.5154898881296894</v>
      </c>
    </row>
    <row r="45" spans="1:11" s="6" customFormat="1" x14ac:dyDescent="0.2">
      <c r="C45" s="5"/>
      <c r="D45" s="5"/>
      <c r="E45" s="5"/>
      <c r="F45" s="5"/>
      <c r="G45" s="5"/>
      <c r="H45" s="5"/>
      <c r="I45" s="5"/>
      <c r="J45" s="5"/>
    </row>
    <row r="46" spans="1:11" x14ac:dyDescent="0.2">
      <c r="C46" s="2"/>
      <c r="D46" s="2"/>
      <c r="E46" s="2"/>
      <c r="F46" s="2"/>
      <c r="G46" s="2"/>
      <c r="H46" s="2"/>
      <c r="I46" s="2"/>
      <c r="J46" s="2"/>
    </row>
    <row r="47" spans="1:11" x14ac:dyDescent="0.2">
      <c r="C47" s="2"/>
      <c r="D47" s="2"/>
      <c r="E47" s="2"/>
      <c r="F47" s="2"/>
      <c r="G47" s="2"/>
      <c r="H47" s="2"/>
      <c r="I47" s="2"/>
      <c r="J47" s="2"/>
    </row>
    <row r="48" spans="1:11" x14ac:dyDescent="0.2">
      <c r="C48" s="2"/>
      <c r="D48" s="2"/>
      <c r="E48" s="2"/>
      <c r="F48" s="2"/>
      <c r="G48" s="2"/>
      <c r="H48" s="2"/>
      <c r="I48" s="2"/>
      <c r="J48" s="2"/>
    </row>
    <row r="49" spans="3:10" x14ac:dyDescent="0.2">
      <c r="C49" s="2"/>
      <c r="D49" s="2"/>
      <c r="E49" s="2"/>
      <c r="F49" s="2"/>
      <c r="G49" s="2"/>
      <c r="H49" s="2"/>
      <c r="I49" s="2"/>
      <c r="J49" s="2"/>
    </row>
    <row r="50" spans="3:10" x14ac:dyDescent="0.2">
      <c r="C50" s="2"/>
      <c r="D50" s="2"/>
      <c r="E50" s="2"/>
      <c r="F50" s="2"/>
      <c r="G50" s="2"/>
      <c r="H50" s="2"/>
      <c r="I50" s="2"/>
      <c r="J50" s="2"/>
    </row>
    <row r="51" spans="3:10" x14ac:dyDescent="0.2">
      <c r="C51" s="2"/>
      <c r="D51" s="2"/>
      <c r="E51" s="2"/>
      <c r="F51" s="2"/>
      <c r="G51" s="2"/>
      <c r="H51" s="2"/>
      <c r="I51" s="2"/>
      <c r="J51" s="2"/>
    </row>
    <row r="52" spans="3:10" x14ac:dyDescent="0.2">
      <c r="C52" s="2"/>
      <c r="D52" s="2"/>
      <c r="E52" s="2"/>
      <c r="F52" s="2"/>
      <c r="G52" s="2"/>
      <c r="H52" s="2"/>
      <c r="I52" s="2"/>
      <c r="J52" s="2"/>
    </row>
    <row r="53" spans="3:10" x14ac:dyDescent="0.2">
      <c r="C53" s="2"/>
      <c r="D53" s="2"/>
      <c r="E53" s="2"/>
      <c r="F53" s="2"/>
      <c r="G53" s="2"/>
      <c r="H53" s="2"/>
      <c r="I53" s="2"/>
      <c r="J53" s="2"/>
    </row>
    <row r="54" spans="3:10" x14ac:dyDescent="0.2">
      <c r="C54" s="2"/>
      <c r="D54" s="2"/>
      <c r="E54" s="2"/>
      <c r="F54" s="2"/>
      <c r="G54" s="2"/>
      <c r="H54" s="2"/>
      <c r="I54" s="2"/>
      <c r="J54" s="2"/>
    </row>
    <row r="55" spans="3:10" x14ac:dyDescent="0.2">
      <c r="C55" s="2"/>
      <c r="D55" s="2"/>
    </row>
    <row r="56" spans="3:10" x14ac:dyDescent="0.2">
      <c r="C56" s="2"/>
      <c r="D56" s="2"/>
    </row>
    <row r="57" spans="3:10" x14ac:dyDescent="0.2">
      <c r="C57" s="2"/>
      <c r="D57" s="2"/>
    </row>
    <row r="58" spans="3:10" x14ac:dyDescent="0.2">
      <c r="C58" s="2"/>
      <c r="D58" s="2"/>
    </row>
    <row r="59" spans="3:10" x14ac:dyDescent="0.2">
      <c r="C59" s="2"/>
      <c r="D59" s="2"/>
    </row>
    <row r="60" spans="3:10" x14ac:dyDescent="0.2">
      <c r="C60" s="2"/>
      <c r="D60" s="2"/>
    </row>
    <row r="61" spans="3:10" x14ac:dyDescent="0.2">
      <c r="C61" s="2"/>
      <c r="D61" s="2"/>
    </row>
    <row r="62" spans="3:10" x14ac:dyDescent="0.2">
      <c r="C62" s="2"/>
      <c r="D62" s="2"/>
    </row>
    <row r="63" spans="3:10" x14ac:dyDescent="0.2">
      <c r="C63" s="2"/>
      <c r="D63" s="2"/>
    </row>
    <row r="64" spans="3:10" x14ac:dyDescent="0.2">
      <c r="C64" s="10"/>
      <c r="D64" s="10"/>
    </row>
    <row r="65" spans="3:4" x14ac:dyDescent="0.2">
      <c r="C65" s="2"/>
      <c r="D65" s="2"/>
    </row>
    <row r="66" spans="3:4" x14ac:dyDescent="0.2">
      <c r="C66" s="10"/>
      <c r="D66" s="10"/>
    </row>
    <row r="67" spans="3:4" x14ac:dyDescent="0.2">
      <c r="C67" s="2"/>
      <c r="D67" s="2"/>
    </row>
    <row r="68" spans="3:4" x14ac:dyDescent="0.2">
      <c r="C68" s="10"/>
      <c r="D68" s="10"/>
    </row>
    <row r="69" spans="3:4" x14ac:dyDescent="0.2">
      <c r="C69" s="2"/>
      <c r="D69" s="2"/>
    </row>
    <row r="70" spans="3:4" x14ac:dyDescent="0.2">
      <c r="C70" s="2"/>
      <c r="D70" s="2"/>
    </row>
  </sheetData>
  <pageMargins left="0.39370078740157483" right="0.39370078740157483" top="0.39370078740157483" bottom="0.39370078740157483" header="0.39370078740157483" footer="0.39370078740157483"/>
  <pageSetup paperSize="9" scale="74"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EF024A-4A54-47B5-891F-C79D1C494906}">
  <sheetPr>
    <pageSetUpPr fitToPage="1"/>
  </sheetPr>
  <dimension ref="A1:K69"/>
  <sheetViews>
    <sheetView topLeftCell="A33" zoomScaleNormal="100" workbookViewId="0">
      <selection activeCell="H43" sqref="H43:I43"/>
    </sheetView>
  </sheetViews>
  <sheetFormatPr defaultColWidth="9.14453125" defaultRowHeight="15" x14ac:dyDescent="0.2"/>
  <cols>
    <col min="1" max="1" width="18.16015625" style="1" bestFit="1" customWidth="1"/>
    <col min="2" max="2" width="5.6484375" style="1" customWidth="1"/>
    <col min="3" max="9" width="17.21875" style="1" bestFit="1" customWidth="1"/>
    <col min="10" max="11" width="13.85546875" style="1" bestFit="1" customWidth="1"/>
    <col min="12" max="16384" width="9.14453125" style="1"/>
  </cols>
  <sheetData>
    <row r="1" spans="1:11" ht="30" customHeight="1" x14ac:dyDescent="0.2">
      <c r="A1" s="1" t="s">
        <v>28</v>
      </c>
      <c r="C1" s="9" t="s">
        <v>69</v>
      </c>
      <c r="D1" s="9" t="s">
        <v>69</v>
      </c>
      <c r="E1" s="9" t="s">
        <v>69</v>
      </c>
      <c r="F1" s="9" t="s">
        <v>69</v>
      </c>
      <c r="G1" s="9" t="s">
        <v>69</v>
      </c>
      <c r="H1" s="9" t="s">
        <v>69</v>
      </c>
      <c r="I1" s="9" t="s">
        <v>69</v>
      </c>
      <c r="J1" s="9"/>
      <c r="K1" s="9"/>
    </row>
    <row r="2" spans="1:11" x14ac:dyDescent="0.2">
      <c r="A2" s="1" t="s">
        <v>0</v>
      </c>
      <c r="C2" s="1" t="s">
        <v>68</v>
      </c>
      <c r="D2" s="1" t="s">
        <v>68</v>
      </c>
      <c r="E2" s="1" t="s">
        <v>68</v>
      </c>
      <c r="F2" s="1" t="s">
        <v>68</v>
      </c>
      <c r="G2" s="1" t="s">
        <v>68</v>
      </c>
      <c r="H2" s="1" t="s">
        <v>68</v>
      </c>
      <c r="I2" s="1" t="s">
        <v>68</v>
      </c>
    </row>
    <row r="3" spans="1:11" x14ac:dyDescent="0.2">
      <c r="A3" s="1" t="s">
        <v>1</v>
      </c>
      <c r="C3" s="1">
        <v>180</v>
      </c>
      <c r="D3" s="1">
        <v>180</v>
      </c>
      <c r="E3" s="1">
        <v>180</v>
      </c>
      <c r="F3" s="1">
        <v>180</v>
      </c>
      <c r="G3" s="1">
        <v>180</v>
      </c>
      <c r="H3" s="1">
        <v>180</v>
      </c>
      <c r="I3" s="1">
        <v>180</v>
      </c>
    </row>
    <row r="4" spans="1:11" x14ac:dyDescent="0.2">
      <c r="C4" s="1" t="s">
        <v>70</v>
      </c>
      <c r="D4" s="1" t="s">
        <v>71</v>
      </c>
      <c r="E4" s="1" t="s">
        <v>72</v>
      </c>
      <c r="F4" s="1" t="s">
        <v>73</v>
      </c>
      <c r="G4" s="1" t="s">
        <v>74</v>
      </c>
      <c r="H4" s="1" t="s">
        <v>75</v>
      </c>
      <c r="I4" s="1" t="s">
        <v>76</v>
      </c>
    </row>
    <row r="6" spans="1:11" x14ac:dyDescent="0.2">
      <c r="A6" s="1" t="s">
        <v>10</v>
      </c>
      <c r="C6" s="1">
        <v>22</v>
      </c>
      <c r="D6" s="1">
        <v>24</v>
      </c>
      <c r="E6" s="1">
        <v>26</v>
      </c>
      <c r="F6" s="1">
        <v>28</v>
      </c>
      <c r="G6" s="1">
        <v>30</v>
      </c>
      <c r="H6" s="1">
        <v>32</v>
      </c>
      <c r="I6" s="1">
        <v>34</v>
      </c>
    </row>
    <row r="7" spans="1:11" x14ac:dyDescent="0.2">
      <c r="A7" s="1" t="s">
        <v>12</v>
      </c>
      <c r="C7" s="1">
        <v>33</v>
      </c>
      <c r="D7" s="1">
        <v>34</v>
      </c>
      <c r="E7" s="1">
        <v>35</v>
      </c>
      <c r="F7" s="1">
        <v>36</v>
      </c>
      <c r="G7" s="1">
        <v>37</v>
      </c>
      <c r="H7" s="1">
        <v>38</v>
      </c>
      <c r="I7" s="1">
        <v>39</v>
      </c>
    </row>
    <row r="8" spans="1:11" x14ac:dyDescent="0.2">
      <c r="A8" s="1" t="s">
        <v>77</v>
      </c>
      <c r="C8" s="1">
        <v>38</v>
      </c>
      <c r="D8" s="1">
        <v>38.5</v>
      </c>
      <c r="E8" s="1">
        <v>39</v>
      </c>
      <c r="F8" s="1">
        <v>39.5</v>
      </c>
      <c r="G8" s="1">
        <v>40</v>
      </c>
      <c r="H8" s="1">
        <v>40.5</v>
      </c>
      <c r="I8" s="1">
        <v>41</v>
      </c>
    </row>
    <row r="10" spans="1:11" x14ac:dyDescent="0.2">
      <c r="A10" s="1" t="s">
        <v>14</v>
      </c>
      <c r="C10" s="7">
        <f>(C6+1)*(C7+C8+3)*2*2.54*2.54/10000*C3</f>
        <v>395.30243519999999</v>
      </c>
      <c r="D10" s="7">
        <f t="shared" ref="D10:I10" si="0">(D6+1)*(D7+D8+3)*2*2.54*2.54/10000*D3</f>
        <v>438.38621999999998</v>
      </c>
      <c r="E10" s="7">
        <f t="shared" si="0"/>
        <v>482.86355040000001</v>
      </c>
      <c r="F10" s="7">
        <f t="shared" si="0"/>
        <v>528.73442640000007</v>
      </c>
      <c r="G10" s="7">
        <f t="shared" si="0"/>
        <v>575.99884799999995</v>
      </c>
      <c r="H10" s="7">
        <f t="shared" si="0"/>
        <v>624.65681519999998</v>
      </c>
      <c r="I10" s="7">
        <f t="shared" si="0"/>
        <v>674.70832800000005</v>
      </c>
      <c r="J10" s="7"/>
      <c r="K10" s="7"/>
    </row>
    <row r="11" spans="1:11" x14ac:dyDescent="0.2">
      <c r="A11" s="1" t="s">
        <v>21</v>
      </c>
      <c r="C11" s="7">
        <v>6</v>
      </c>
      <c r="D11" s="7">
        <v>6</v>
      </c>
      <c r="E11" s="7">
        <v>6</v>
      </c>
      <c r="F11" s="7">
        <v>6</v>
      </c>
      <c r="G11" s="7">
        <v>6</v>
      </c>
      <c r="H11" s="7">
        <v>6</v>
      </c>
      <c r="I11" s="7">
        <v>6</v>
      </c>
      <c r="J11" s="7"/>
      <c r="K11" s="7"/>
    </row>
    <row r="12" spans="1:11" x14ac:dyDescent="0.2">
      <c r="A12" s="1" t="s">
        <v>13</v>
      </c>
      <c r="C12" s="7">
        <v>6</v>
      </c>
      <c r="D12" s="7">
        <v>6</v>
      </c>
      <c r="E12" s="7">
        <v>6</v>
      </c>
      <c r="F12" s="7">
        <v>6</v>
      </c>
      <c r="G12" s="7">
        <v>8</v>
      </c>
      <c r="H12" s="7">
        <v>8</v>
      </c>
      <c r="I12" s="7">
        <v>8</v>
      </c>
      <c r="J12" s="7"/>
      <c r="K12" s="7"/>
    </row>
    <row r="14" spans="1:11" x14ac:dyDescent="0.2">
      <c r="A14" s="1" t="s">
        <v>15</v>
      </c>
      <c r="C14" s="7">
        <f t="shared" ref="C14:I14" si="1">SUM(C10:C13)</f>
        <v>407.30243519999999</v>
      </c>
      <c r="D14" s="7">
        <f t="shared" si="1"/>
        <v>450.38621999999998</v>
      </c>
      <c r="E14" s="7">
        <f t="shared" si="1"/>
        <v>494.86355040000001</v>
      </c>
      <c r="F14" s="7">
        <f t="shared" si="1"/>
        <v>540.73442640000007</v>
      </c>
      <c r="G14" s="7">
        <f t="shared" si="1"/>
        <v>589.99884799999995</v>
      </c>
      <c r="H14" s="7">
        <f t="shared" si="1"/>
        <v>638.65681519999998</v>
      </c>
      <c r="I14" s="7">
        <f t="shared" si="1"/>
        <v>688.70832800000005</v>
      </c>
      <c r="J14" s="7"/>
      <c r="K14" s="7"/>
    </row>
    <row r="16" spans="1:11" x14ac:dyDescent="0.2">
      <c r="A16" s="1" t="s">
        <v>16</v>
      </c>
      <c r="C16" s="7">
        <v>160</v>
      </c>
      <c r="D16" s="7">
        <v>160</v>
      </c>
      <c r="E16" s="7">
        <v>160</v>
      </c>
      <c r="F16" s="7">
        <v>160</v>
      </c>
      <c r="G16" s="7">
        <v>160</v>
      </c>
      <c r="H16" s="7">
        <v>160</v>
      </c>
      <c r="I16" s="7">
        <v>160</v>
      </c>
      <c r="J16" s="7"/>
      <c r="K16" s="7"/>
    </row>
    <row r="17" spans="1:11" x14ac:dyDescent="0.2">
      <c r="A17" s="1" t="s">
        <v>7</v>
      </c>
      <c r="C17" s="7">
        <v>10</v>
      </c>
      <c r="D17" s="7">
        <v>10</v>
      </c>
      <c r="E17" s="7">
        <v>10</v>
      </c>
      <c r="F17" s="7">
        <v>10</v>
      </c>
      <c r="G17" s="7">
        <v>10</v>
      </c>
      <c r="H17" s="7">
        <v>10</v>
      </c>
      <c r="I17" s="7">
        <v>10</v>
      </c>
      <c r="J17" s="7"/>
      <c r="K17" s="7"/>
    </row>
    <row r="18" spans="1:11" x14ac:dyDescent="0.2">
      <c r="A18" s="1" t="s">
        <v>55</v>
      </c>
      <c r="C18" s="7">
        <v>12</v>
      </c>
      <c r="D18" s="7">
        <v>12</v>
      </c>
      <c r="E18" s="7">
        <v>12</v>
      </c>
      <c r="F18" s="7">
        <v>12</v>
      </c>
      <c r="G18" s="7">
        <v>12</v>
      </c>
      <c r="H18" s="7">
        <v>12</v>
      </c>
      <c r="I18" s="7">
        <v>12</v>
      </c>
      <c r="J18" s="7"/>
      <c r="K18" s="7"/>
    </row>
    <row r="19" spans="1:11" x14ac:dyDescent="0.2">
      <c r="A19" s="1" t="s">
        <v>38</v>
      </c>
      <c r="C19" s="7">
        <v>18</v>
      </c>
      <c r="D19" s="7">
        <v>18</v>
      </c>
      <c r="E19" s="7">
        <v>18</v>
      </c>
      <c r="F19" s="7">
        <v>18</v>
      </c>
      <c r="G19" s="7">
        <v>18</v>
      </c>
      <c r="H19" s="7">
        <v>18</v>
      </c>
      <c r="I19" s="7">
        <v>18</v>
      </c>
      <c r="J19" s="7"/>
      <c r="K19" s="7"/>
    </row>
    <row r="20" spans="1:11" x14ac:dyDescent="0.2">
      <c r="A20" s="1" t="s">
        <v>8</v>
      </c>
      <c r="C20" s="7">
        <v>9</v>
      </c>
      <c r="D20" s="7">
        <v>9</v>
      </c>
      <c r="E20" s="7">
        <v>9</v>
      </c>
      <c r="F20" s="7">
        <v>9</v>
      </c>
      <c r="G20" s="7">
        <v>9</v>
      </c>
      <c r="H20" s="7">
        <v>9</v>
      </c>
      <c r="I20" s="7">
        <v>9</v>
      </c>
      <c r="J20" s="7"/>
      <c r="K20" s="7"/>
    </row>
    <row r="21" spans="1:11" x14ac:dyDescent="0.2">
      <c r="C21" s="7"/>
      <c r="D21" s="7"/>
      <c r="E21" s="7"/>
      <c r="F21" s="7"/>
      <c r="G21" s="7"/>
      <c r="H21" s="7"/>
      <c r="I21" s="7"/>
      <c r="J21" s="7"/>
      <c r="K21" s="7"/>
    </row>
    <row r="22" spans="1:11" x14ac:dyDescent="0.2">
      <c r="A22" s="1" t="s">
        <v>2</v>
      </c>
      <c r="C22" s="7">
        <f>SUM(C16:C20)</f>
        <v>209</v>
      </c>
      <c r="D22" s="7">
        <f t="shared" ref="D22:I22" si="2">SUM(D16:D20)</f>
        <v>209</v>
      </c>
      <c r="E22" s="7">
        <f t="shared" si="2"/>
        <v>209</v>
      </c>
      <c r="F22" s="7">
        <f t="shared" si="2"/>
        <v>209</v>
      </c>
      <c r="G22" s="7">
        <f t="shared" si="2"/>
        <v>209</v>
      </c>
      <c r="H22" s="7">
        <f t="shared" si="2"/>
        <v>209</v>
      </c>
      <c r="I22" s="7">
        <f t="shared" si="2"/>
        <v>209</v>
      </c>
      <c r="J22" s="7"/>
      <c r="K22" s="7"/>
    </row>
    <row r="23" spans="1:11" x14ac:dyDescent="0.2">
      <c r="A23" s="1" t="s">
        <v>32</v>
      </c>
      <c r="C23" s="7">
        <f>C22*3%</f>
        <v>6.27</v>
      </c>
      <c r="D23" s="7">
        <f t="shared" ref="D23:I23" si="3">D22*3%</f>
        <v>6.27</v>
      </c>
      <c r="E23" s="7">
        <f t="shared" si="3"/>
        <v>6.27</v>
      </c>
      <c r="F23" s="7">
        <f t="shared" si="3"/>
        <v>6.27</v>
      </c>
      <c r="G23" s="7">
        <f t="shared" si="3"/>
        <v>6.27</v>
      </c>
      <c r="H23" s="7">
        <f t="shared" si="3"/>
        <v>6.27</v>
      </c>
      <c r="I23" s="7">
        <f t="shared" si="3"/>
        <v>6.27</v>
      </c>
      <c r="J23" s="7"/>
      <c r="K23" s="7"/>
    </row>
    <row r="24" spans="1:11" x14ac:dyDescent="0.2">
      <c r="C24" s="7"/>
      <c r="D24" s="7"/>
      <c r="E24" s="7"/>
      <c r="F24" s="7"/>
      <c r="G24" s="7"/>
      <c r="H24" s="7"/>
      <c r="I24" s="7"/>
      <c r="J24" s="7"/>
      <c r="K24" s="7"/>
    </row>
    <row r="25" spans="1:11" s="8" customFormat="1" x14ac:dyDescent="0.2">
      <c r="A25" s="8" t="s">
        <v>3</v>
      </c>
      <c r="C25" s="7">
        <f t="shared" ref="C25:I25" si="4">SUM(C22:C24)</f>
        <v>215.27</v>
      </c>
      <c r="D25" s="7">
        <f t="shared" si="4"/>
        <v>215.27</v>
      </c>
      <c r="E25" s="7">
        <f t="shared" si="4"/>
        <v>215.27</v>
      </c>
      <c r="F25" s="7">
        <f t="shared" si="4"/>
        <v>215.27</v>
      </c>
      <c r="G25" s="7">
        <f t="shared" si="4"/>
        <v>215.27</v>
      </c>
      <c r="H25" s="7">
        <f t="shared" si="4"/>
        <v>215.27</v>
      </c>
      <c r="I25" s="7">
        <f t="shared" si="4"/>
        <v>215.27</v>
      </c>
      <c r="J25" s="7"/>
      <c r="K25" s="7"/>
    </row>
    <row r="26" spans="1:11" x14ac:dyDescent="0.2">
      <c r="C26" s="7"/>
      <c r="D26" s="7"/>
      <c r="E26" s="7"/>
      <c r="F26" s="7"/>
      <c r="G26" s="7"/>
      <c r="H26" s="7"/>
      <c r="I26" s="7"/>
      <c r="J26" s="7"/>
      <c r="K26" s="7"/>
    </row>
    <row r="27" spans="1:11" x14ac:dyDescent="0.2">
      <c r="A27" s="1" t="s">
        <v>4</v>
      </c>
      <c r="C27" s="2">
        <f>C25*C14/1000</f>
        <v>87.679995225504001</v>
      </c>
      <c r="D27" s="2">
        <f t="shared" ref="D27:I27" si="5">D25*D14/1000</f>
        <v>96.954641579400004</v>
      </c>
      <c r="E27" s="2">
        <f t="shared" si="5"/>
        <v>106.52927649460801</v>
      </c>
      <c r="F27" s="2">
        <f t="shared" si="5"/>
        <v>116.40389997112801</v>
      </c>
      <c r="G27" s="2">
        <f t="shared" si="5"/>
        <v>127.00905200895998</v>
      </c>
      <c r="H27" s="2">
        <f t="shared" si="5"/>
        <v>137.48365260810399</v>
      </c>
      <c r="I27" s="2">
        <f t="shared" si="5"/>
        <v>148.25824176856003</v>
      </c>
      <c r="J27" s="2"/>
      <c r="K27" s="2"/>
    </row>
    <row r="28" spans="1:11" x14ac:dyDescent="0.2">
      <c r="A28" s="1" t="s">
        <v>5</v>
      </c>
      <c r="C28" s="2">
        <v>15</v>
      </c>
      <c r="D28" s="2">
        <v>15</v>
      </c>
      <c r="E28" s="2">
        <v>15</v>
      </c>
      <c r="F28" s="2">
        <v>15</v>
      </c>
      <c r="G28" s="2">
        <v>15</v>
      </c>
      <c r="H28" s="2">
        <v>15</v>
      </c>
      <c r="I28" s="2">
        <v>15</v>
      </c>
      <c r="J28" s="2"/>
      <c r="K28" s="2"/>
    </row>
    <row r="29" spans="1:11" x14ac:dyDescent="0.2">
      <c r="A29" s="1" t="s">
        <v>56</v>
      </c>
      <c r="C29" s="2">
        <v>10</v>
      </c>
      <c r="D29" s="2">
        <v>10</v>
      </c>
      <c r="E29" s="2">
        <v>10</v>
      </c>
      <c r="F29" s="2">
        <v>10</v>
      </c>
      <c r="G29" s="2">
        <v>10</v>
      </c>
      <c r="H29" s="2">
        <v>10</v>
      </c>
      <c r="I29" s="2">
        <v>10</v>
      </c>
      <c r="J29" s="2"/>
      <c r="K29" s="2"/>
    </row>
    <row r="30" spans="1:11" x14ac:dyDescent="0.2">
      <c r="C30" s="2"/>
      <c r="D30" s="2"/>
      <c r="E30" s="2"/>
      <c r="F30" s="2"/>
      <c r="G30" s="2"/>
      <c r="H30" s="2"/>
      <c r="I30" s="2"/>
      <c r="J30" s="2"/>
      <c r="K30" s="2"/>
    </row>
    <row r="31" spans="1:11" x14ac:dyDescent="0.2">
      <c r="A31" s="1" t="s">
        <v>2</v>
      </c>
      <c r="C31" s="2">
        <f>SUM(C27:C30)</f>
        <v>112.679995225504</v>
      </c>
      <c r="D31" s="2">
        <f t="shared" ref="D31:I31" si="6">SUM(D27:D30)</f>
        <v>121.9546415794</v>
      </c>
      <c r="E31" s="2">
        <f t="shared" si="6"/>
        <v>131.52927649460801</v>
      </c>
      <c r="F31" s="2">
        <f t="shared" si="6"/>
        <v>141.403899971128</v>
      </c>
      <c r="G31" s="2">
        <f t="shared" si="6"/>
        <v>152.00905200896</v>
      </c>
      <c r="H31" s="2">
        <f t="shared" si="6"/>
        <v>162.48365260810399</v>
      </c>
      <c r="I31" s="2">
        <f t="shared" si="6"/>
        <v>173.25824176856003</v>
      </c>
      <c r="J31" s="2"/>
      <c r="K31" s="2"/>
    </row>
    <row r="32" spans="1:11" x14ac:dyDescent="0.2">
      <c r="A32" s="1" t="s">
        <v>19</v>
      </c>
      <c r="C32" s="2">
        <f t="shared" ref="C32:I32" si="7">C31*1%</f>
        <v>1.12679995225504</v>
      </c>
      <c r="D32" s="2">
        <f t="shared" si="7"/>
        <v>1.2195464157940001</v>
      </c>
      <c r="E32" s="2">
        <f t="shared" si="7"/>
        <v>1.3152927649460802</v>
      </c>
      <c r="F32" s="2">
        <f t="shared" si="7"/>
        <v>1.4140389997112801</v>
      </c>
      <c r="G32" s="2">
        <f t="shared" si="7"/>
        <v>1.5200905200896</v>
      </c>
      <c r="H32" s="2">
        <f t="shared" si="7"/>
        <v>1.62483652608104</v>
      </c>
      <c r="I32" s="2">
        <f t="shared" si="7"/>
        <v>1.7325824176856004</v>
      </c>
      <c r="J32" s="2"/>
      <c r="K32" s="2"/>
    </row>
    <row r="33" spans="1:11" x14ac:dyDescent="0.2">
      <c r="C33" s="2"/>
      <c r="D33" s="2"/>
      <c r="E33" s="2"/>
      <c r="F33" s="2"/>
      <c r="G33" s="2"/>
      <c r="H33" s="2"/>
      <c r="I33" s="2"/>
      <c r="J33" s="2"/>
      <c r="K33" s="2"/>
    </row>
    <row r="34" spans="1:11" x14ac:dyDescent="0.2">
      <c r="A34" s="1" t="s">
        <v>2</v>
      </c>
      <c r="C34" s="2">
        <f t="shared" ref="C34:I34" si="8">SUM(C31:C33)</f>
        <v>113.80679517775904</v>
      </c>
      <c r="D34" s="2">
        <f t="shared" si="8"/>
        <v>123.174187995194</v>
      </c>
      <c r="E34" s="2">
        <f t="shared" si="8"/>
        <v>132.84456925955411</v>
      </c>
      <c r="F34" s="2">
        <f t="shared" si="8"/>
        <v>142.81793897083926</v>
      </c>
      <c r="G34" s="2">
        <f t="shared" si="8"/>
        <v>153.52914252904961</v>
      </c>
      <c r="H34" s="2">
        <f t="shared" si="8"/>
        <v>164.10848913418502</v>
      </c>
      <c r="I34" s="2">
        <f t="shared" si="8"/>
        <v>174.99082418624562</v>
      </c>
      <c r="J34" s="2"/>
      <c r="K34" s="2"/>
    </row>
    <row r="35" spans="1:11" x14ac:dyDescent="0.2">
      <c r="A35" s="1" t="s">
        <v>42</v>
      </c>
      <c r="C35" s="2">
        <f>C34*20%</f>
        <v>22.761359035551809</v>
      </c>
      <c r="D35" s="2">
        <f t="shared" ref="D35:I35" si="9">D34*20%</f>
        <v>24.634837599038804</v>
      </c>
      <c r="E35" s="2">
        <f t="shared" si="9"/>
        <v>26.568913851910821</v>
      </c>
      <c r="F35" s="2">
        <f t="shared" si="9"/>
        <v>28.563587794167855</v>
      </c>
      <c r="G35" s="2">
        <f t="shared" si="9"/>
        <v>30.705828505809922</v>
      </c>
      <c r="H35" s="2">
        <f t="shared" si="9"/>
        <v>32.821697826837003</v>
      </c>
      <c r="I35" s="2">
        <f t="shared" si="9"/>
        <v>34.998164837249128</v>
      </c>
      <c r="J35" s="2"/>
      <c r="K35" s="2"/>
    </row>
    <row r="36" spans="1:11" x14ac:dyDescent="0.2">
      <c r="C36" s="2"/>
      <c r="D36" s="2"/>
      <c r="E36" s="2"/>
      <c r="F36" s="2"/>
      <c r="G36" s="2"/>
      <c r="H36" s="2"/>
      <c r="I36" s="2"/>
      <c r="J36" s="2"/>
      <c r="K36" s="2"/>
    </row>
    <row r="37" spans="1:11" x14ac:dyDescent="0.2">
      <c r="A37" s="1" t="s">
        <v>6</v>
      </c>
      <c r="C37" s="2">
        <f t="shared" ref="C37:I37" si="10">SUM(C34:C36)</f>
        <v>136.56815421331086</v>
      </c>
      <c r="D37" s="2">
        <f t="shared" si="10"/>
        <v>147.80902559423282</v>
      </c>
      <c r="E37" s="2">
        <f t="shared" si="10"/>
        <v>159.41348311146493</v>
      </c>
      <c r="F37" s="2">
        <f t="shared" si="10"/>
        <v>171.38152676500712</v>
      </c>
      <c r="G37" s="2">
        <f t="shared" si="10"/>
        <v>184.23497103485954</v>
      </c>
      <c r="H37" s="2">
        <f t="shared" si="10"/>
        <v>196.93018696102203</v>
      </c>
      <c r="I37" s="2">
        <f t="shared" si="10"/>
        <v>209.98898902349475</v>
      </c>
      <c r="J37" s="2"/>
      <c r="K37" s="2"/>
    </row>
    <row r="38" spans="1:11" x14ac:dyDescent="0.2">
      <c r="C38" s="2"/>
      <c r="D38" s="2"/>
      <c r="E38" s="2"/>
      <c r="F38" s="2"/>
      <c r="G38" s="2"/>
      <c r="H38" s="2"/>
      <c r="I38" s="2"/>
      <c r="J38" s="2"/>
      <c r="K38" s="2"/>
    </row>
    <row r="39" spans="1:11" x14ac:dyDescent="0.2">
      <c r="A39" s="1" t="s">
        <v>57</v>
      </c>
      <c r="C39" s="2">
        <f>C37/90</f>
        <v>1.517423935703454</v>
      </c>
      <c r="D39" s="2">
        <f t="shared" ref="D39:I39" si="11">D37/90</f>
        <v>1.6423225066025868</v>
      </c>
      <c r="E39" s="2">
        <f t="shared" si="11"/>
        <v>1.7712609234607215</v>
      </c>
      <c r="F39" s="2">
        <f t="shared" si="11"/>
        <v>1.9042391862778569</v>
      </c>
      <c r="G39" s="2">
        <f t="shared" si="11"/>
        <v>2.0470552337206618</v>
      </c>
      <c r="H39" s="2">
        <f t="shared" si="11"/>
        <v>2.1881131884558003</v>
      </c>
      <c r="I39" s="2">
        <f t="shared" si="11"/>
        <v>2.3332109891499417</v>
      </c>
      <c r="J39" s="2"/>
      <c r="K39" s="2"/>
    </row>
    <row r="40" spans="1:11" x14ac:dyDescent="0.2">
      <c r="C40" s="2"/>
      <c r="D40" s="2"/>
      <c r="E40" s="2"/>
      <c r="F40" s="2"/>
      <c r="G40" s="2"/>
      <c r="H40" s="2"/>
      <c r="I40" s="2"/>
      <c r="J40" s="2"/>
      <c r="K40" s="2"/>
    </row>
    <row r="41" spans="1:11" x14ac:dyDescent="0.2">
      <c r="A41" s="1" t="s">
        <v>58</v>
      </c>
      <c r="C41" s="2">
        <f>0.07+0.11</f>
        <v>0.18</v>
      </c>
      <c r="D41" s="2">
        <f t="shared" ref="D41:I41" si="12">0.07+0.11</f>
        <v>0.18</v>
      </c>
      <c r="E41" s="2">
        <f t="shared" si="12"/>
        <v>0.18</v>
      </c>
      <c r="F41" s="2">
        <f t="shared" si="12"/>
        <v>0.18</v>
      </c>
      <c r="G41" s="2">
        <f t="shared" si="12"/>
        <v>0.18</v>
      </c>
      <c r="H41" s="2">
        <f t="shared" si="12"/>
        <v>0.18</v>
      </c>
      <c r="I41" s="2">
        <f t="shared" si="12"/>
        <v>0.18</v>
      </c>
      <c r="J41" s="2"/>
      <c r="K41" s="2"/>
    </row>
    <row r="42" spans="1:11" x14ac:dyDescent="0.2">
      <c r="C42" s="2"/>
      <c r="D42" s="2"/>
      <c r="E42" s="2"/>
      <c r="F42" s="2"/>
      <c r="G42" s="2"/>
      <c r="H42" s="2"/>
      <c r="I42" s="2"/>
      <c r="J42" s="2"/>
      <c r="K42" s="2"/>
    </row>
    <row r="43" spans="1:11" x14ac:dyDescent="0.2">
      <c r="A43" s="1" t="s">
        <v>59</v>
      </c>
      <c r="C43" s="2">
        <f>SUM(C39:C42)</f>
        <v>1.697423935703454</v>
      </c>
      <c r="D43" s="2">
        <f t="shared" ref="D43:I43" si="13">SUM(D39:D42)</f>
        <v>1.8223225066025868</v>
      </c>
      <c r="E43" s="2">
        <f t="shared" si="13"/>
        <v>1.9512609234607214</v>
      </c>
      <c r="F43" s="2">
        <f t="shared" si="13"/>
        <v>2.0842391862778569</v>
      </c>
      <c r="G43" s="2">
        <f t="shared" si="13"/>
        <v>2.2270552337206619</v>
      </c>
      <c r="H43" s="2">
        <f t="shared" si="13"/>
        <v>2.3681131884558004</v>
      </c>
      <c r="I43" s="2">
        <f t="shared" si="13"/>
        <v>2.5132109891499419</v>
      </c>
    </row>
    <row r="44" spans="1:11" s="6" customFormat="1" x14ac:dyDescent="0.2">
      <c r="C44" s="5"/>
      <c r="D44" s="5"/>
      <c r="E44" s="5"/>
      <c r="F44" s="5"/>
      <c r="G44" s="5"/>
      <c r="H44" s="5"/>
      <c r="I44" s="5"/>
    </row>
    <row r="45" spans="1:11" x14ac:dyDescent="0.2">
      <c r="C45" s="2"/>
      <c r="D45" s="2"/>
      <c r="E45" s="2"/>
      <c r="F45" s="2"/>
      <c r="G45" s="2"/>
      <c r="H45" s="2"/>
      <c r="I45" s="2"/>
    </row>
    <row r="46" spans="1:11" x14ac:dyDescent="0.2">
      <c r="C46" s="2"/>
      <c r="D46" s="2"/>
      <c r="E46" s="2"/>
      <c r="F46" s="2"/>
      <c r="G46" s="2"/>
      <c r="H46" s="2"/>
      <c r="I46" s="2"/>
    </row>
    <row r="47" spans="1:11" x14ac:dyDescent="0.2">
      <c r="C47" s="2"/>
      <c r="D47" s="2"/>
      <c r="E47" s="2"/>
      <c r="F47" s="2"/>
      <c r="G47" s="2"/>
      <c r="H47" s="2"/>
      <c r="I47" s="2"/>
    </row>
    <row r="48" spans="1:11" x14ac:dyDescent="0.2">
      <c r="C48" s="2"/>
      <c r="D48" s="2"/>
      <c r="E48" s="2"/>
      <c r="F48" s="2"/>
      <c r="G48" s="2"/>
      <c r="H48" s="2"/>
      <c r="I48" s="2"/>
    </row>
    <row r="49" spans="3:9" x14ac:dyDescent="0.2">
      <c r="C49" s="2"/>
      <c r="D49" s="2"/>
      <c r="E49" s="2"/>
      <c r="F49" s="2"/>
      <c r="G49" s="2"/>
      <c r="H49" s="2"/>
      <c r="I49" s="2"/>
    </row>
    <row r="50" spans="3:9" x14ac:dyDescent="0.2">
      <c r="C50" s="2"/>
      <c r="D50" s="2"/>
      <c r="E50" s="2"/>
      <c r="F50" s="2"/>
      <c r="G50" s="2"/>
      <c r="H50" s="2"/>
      <c r="I50" s="2"/>
    </row>
    <row r="51" spans="3:9" x14ac:dyDescent="0.2">
      <c r="C51" s="2"/>
      <c r="D51" s="2"/>
      <c r="E51" s="2"/>
      <c r="F51" s="2"/>
      <c r="G51" s="2"/>
      <c r="H51" s="2"/>
      <c r="I51" s="2"/>
    </row>
    <row r="52" spans="3:9" x14ac:dyDescent="0.2">
      <c r="C52" s="2"/>
      <c r="D52" s="2"/>
      <c r="E52" s="2"/>
      <c r="F52" s="2"/>
      <c r="G52" s="2"/>
      <c r="H52" s="2"/>
      <c r="I52" s="2"/>
    </row>
    <row r="53" spans="3:9" x14ac:dyDescent="0.2">
      <c r="C53" s="2"/>
      <c r="D53" s="2"/>
      <c r="E53" s="2"/>
      <c r="F53" s="2"/>
      <c r="G53" s="2"/>
      <c r="H53" s="2"/>
      <c r="I53" s="2"/>
    </row>
    <row r="54" spans="3:9" x14ac:dyDescent="0.2">
      <c r="C54" s="2"/>
      <c r="D54" s="2"/>
    </row>
    <row r="55" spans="3:9" x14ac:dyDescent="0.2">
      <c r="C55" s="2"/>
      <c r="D55" s="2"/>
    </row>
    <row r="56" spans="3:9" x14ac:dyDescent="0.2">
      <c r="C56" s="2"/>
      <c r="D56" s="2"/>
    </row>
    <row r="57" spans="3:9" x14ac:dyDescent="0.2">
      <c r="C57" s="2"/>
      <c r="D57" s="2"/>
    </row>
    <row r="58" spans="3:9" x14ac:dyDescent="0.2">
      <c r="C58" s="2"/>
      <c r="D58" s="2"/>
    </row>
    <row r="59" spans="3:9" x14ac:dyDescent="0.2">
      <c r="C59" s="2"/>
      <c r="D59" s="2"/>
    </row>
    <row r="60" spans="3:9" x14ac:dyDescent="0.2">
      <c r="C60" s="2"/>
      <c r="D60" s="2"/>
    </row>
    <row r="61" spans="3:9" x14ac:dyDescent="0.2">
      <c r="C61" s="2"/>
      <c r="D61" s="2"/>
    </row>
    <row r="62" spans="3:9" x14ac:dyDescent="0.2">
      <c r="C62" s="2"/>
      <c r="D62" s="2"/>
    </row>
    <row r="63" spans="3:9" x14ac:dyDescent="0.2">
      <c r="C63" s="10"/>
      <c r="D63" s="10"/>
    </row>
    <row r="64" spans="3:9" x14ac:dyDescent="0.2">
      <c r="C64" s="2"/>
      <c r="D64" s="2"/>
    </row>
    <row r="65" spans="3:4" x14ac:dyDescent="0.2">
      <c r="C65" s="10"/>
      <c r="D65" s="10"/>
    </row>
    <row r="66" spans="3:4" x14ac:dyDescent="0.2">
      <c r="C66" s="2"/>
      <c r="D66" s="2"/>
    </row>
    <row r="67" spans="3:4" x14ac:dyDescent="0.2">
      <c r="C67" s="10"/>
      <c r="D67" s="10"/>
    </row>
    <row r="68" spans="3:4" x14ac:dyDescent="0.2">
      <c r="C68" s="2"/>
      <c r="D68" s="2"/>
    </row>
    <row r="69" spans="3:4" x14ac:dyDescent="0.2">
      <c r="C69" s="2"/>
      <c r="D69" s="2"/>
    </row>
  </sheetData>
  <pageMargins left="0.39370078740157483" right="0.39370078740157483" top="0.39370078740157483" bottom="0.39370078740157483" header="0.39370078740157483" footer="0.39370078740157483"/>
  <pageSetup paperSize="9" scale="74"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C0B646-3661-4D82-A2AF-02B66BF6A9E5}">
  <sheetPr>
    <pageSetUpPr fitToPage="1"/>
  </sheetPr>
  <dimension ref="A1:K69"/>
  <sheetViews>
    <sheetView zoomScaleNormal="100" workbookViewId="0"/>
  </sheetViews>
  <sheetFormatPr defaultColWidth="9.14453125" defaultRowHeight="15" x14ac:dyDescent="0.2"/>
  <cols>
    <col min="1" max="1" width="18.16015625" style="1" bestFit="1" customWidth="1"/>
    <col min="2" max="2" width="5.6484375" style="1" customWidth="1"/>
    <col min="3" max="9" width="17.21875" style="1" bestFit="1" customWidth="1"/>
    <col min="10" max="11" width="13.85546875" style="1" bestFit="1" customWidth="1"/>
    <col min="12" max="16384" width="9.14453125" style="1"/>
  </cols>
  <sheetData>
    <row r="1" spans="1:11" ht="30" customHeight="1" x14ac:dyDescent="0.2">
      <c r="A1" s="1" t="s">
        <v>28</v>
      </c>
      <c r="C1" s="9" t="s">
        <v>69</v>
      </c>
      <c r="D1" s="9" t="s">
        <v>69</v>
      </c>
      <c r="E1" s="9" t="s">
        <v>69</v>
      </c>
      <c r="F1" s="9" t="s">
        <v>69</v>
      </c>
      <c r="G1" s="9" t="s">
        <v>69</v>
      </c>
      <c r="H1" s="9" t="s">
        <v>69</v>
      </c>
      <c r="I1" s="9" t="s">
        <v>69</v>
      </c>
      <c r="J1" s="9"/>
      <c r="K1" s="9"/>
    </row>
    <row r="2" spans="1:11" x14ac:dyDescent="0.2">
      <c r="A2" s="1" t="s">
        <v>0</v>
      </c>
      <c r="C2" s="1" t="s">
        <v>68</v>
      </c>
      <c r="D2" s="1" t="s">
        <v>68</v>
      </c>
      <c r="E2" s="1" t="s">
        <v>68</v>
      </c>
      <c r="F2" s="1" t="s">
        <v>68</v>
      </c>
      <c r="G2" s="1" t="s">
        <v>68</v>
      </c>
      <c r="H2" s="1" t="s">
        <v>68</v>
      </c>
      <c r="I2" s="1" t="s">
        <v>68</v>
      </c>
    </row>
    <row r="3" spans="1:11" x14ac:dyDescent="0.2">
      <c r="A3" s="1" t="s">
        <v>1</v>
      </c>
      <c r="C3" s="1">
        <v>180</v>
      </c>
      <c r="D3" s="1">
        <v>180</v>
      </c>
      <c r="E3" s="1">
        <v>180</v>
      </c>
      <c r="F3" s="1">
        <v>180</v>
      </c>
      <c r="G3" s="1">
        <v>180</v>
      </c>
      <c r="H3" s="1">
        <v>180</v>
      </c>
      <c r="I3" s="1">
        <v>180</v>
      </c>
    </row>
    <row r="4" spans="1:11" x14ac:dyDescent="0.2">
      <c r="C4" s="1" t="s">
        <v>70</v>
      </c>
      <c r="D4" s="1" t="s">
        <v>71</v>
      </c>
      <c r="E4" s="1" t="s">
        <v>72</v>
      </c>
      <c r="F4" s="1" t="s">
        <v>73</v>
      </c>
      <c r="G4" s="1" t="s">
        <v>74</v>
      </c>
      <c r="H4" s="1" t="s">
        <v>75</v>
      </c>
      <c r="I4" s="1" t="s">
        <v>76</v>
      </c>
    </row>
    <row r="6" spans="1:11" x14ac:dyDescent="0.2">
      <c r="A6" s="1" t="s">
        <v>10</v>
      </c>
      <c r="C6" s="1">
        <v>22</v>
      </c>
      <c r="D6" s="1">
        <v>24</v>
      </c>
      <c r="E6" s="1">
        <v>26</v>
      </c>
      <c r="F6" s="1">
        <v>28</v>
      </c>
      <c r="G6" s="1">
        <v>30</v>
      </c>
      <c r="H6" s="1">
        <v>32</v>
      </c>
      <c r="I6" s="1">
        <v>34</v>
      </c>
    </row>
    <row r="7" spans="1:11" x14ac:dyDescent="0.2">
      <c r="A7" s="1" t="s">
        <v>12</v>
      </c>
      <c r="C7" s="1">
        <v>33</v>
      </c>
      <c r="D7" s="1">
        <v>34</v>
      </c>
      <c r="E7" s="1">
        <v>35</v>
      </c>
      <c r="F7" s="1">
        <v>36</v>
      </c>
      <c r="G7" s="1">
        <v>37</v>
      </c>
      <c r="H7" s="1">
        <v>38</v>
      </c>
      <c r="I7" s="1">
        <v>39</v>
      </c>
    </row>
    <row r="8" spans="1:11" x14ac:dyDescent="0.2">
      <c r="A8" s="1" t="s">
        <v>77</v>
      </c>
      <c r="C8" s="1">
        <v>22.25</v>
      </c>
      <c r="D8" s="1">
        <v>23</v>
      </c>
      <c r="E8" s="1">
        <v>23.75</v>
      </c>
      <c r="F8" s="1">
        <v>24.5</v>
      </c>
      <c r="G8" s="1">
        <v>25.25</v>
      </c>
      <c r="H8" s="1">
        <v>26</v>
      </c>
      <c r="I8" s="1">
        <v>26.75</v>
      </c>
    </row>
    <row r="10" spans="1:11" x14ac:dyDescent="0.2">
      <c r="A10" s="1" t="s">
        <v>14</v>
      </c>
      <c r="C10" s="7">
        <f>(C6+1)*(C7+C8+3)*2*2.54*2.54/10000*C3</f>
        <v>311.16711960000004</v>
      </c>
      <c r="D10" s="7">
        <f t="shared" ref="D10:I10" si="0">(D6+1)*(D7+D8+3)*2*2.54*2.54/10000*D3</f>
        <v>348.38639999999998</v>
      </c>
      <c r="E10" s="7">
        <f t="shared" si="0"/>
        <v>387.23148360000005</v>
      </c>
      <c r="F10" s="7">
        <f t="shared" si="0"/>
        <v>427.70237040000001</v>
      </c>
      <c r="G10" s="7">
        <f t="shared" si="0"/>
        <v>469.79906039999992</v>
      </c>
      <c r="H10" s="7">
        <f t="shared" si="0"/>
        <v>513.52155360000006</v>
      </c>
      <c r="I10" s="7">
        <f t="shared" si="0"/>
        <v>558.86985000000004</v>
      </c>
      <c r="J10" s="7"/>
      <c r="K10" s="7"/>
    </row>
    <row r="11" spans="1:11" x14ac:dyDescent="0.2">
      <c r="A11" s="1" t="s">
        <v>21</v>
      </c>
      <c r="C11" s="7">
        <v>6</v>
      </c>
      <c r="D11" s="7">
        <v>6</v>
      </c>
      <c r="E11" s="7">
        <v>6</v>
      </c>
      <c r="F11" s="7">
        <v>6</v>
      </c>
      <c r="G11" s="7">
        <v>6</v>
      </c>
      <c r="H11" s="7">
        <v>6</v>
      </c>
      <c r="I11" s="7">
        <v>6</v>
      </c>
      <c r="J11" s="7"/>
      <c r="K11" s="7"/>
    </row>
    <row r="12" spans="1:11" x14ac:dyDescent="0.2">
      <c r="A12" s="1" t="s">
        <v>13</v>
      </c>
      <c r="C12" s="7">
        <v>6</v>
      </c>
      <c r="D12" s="7">
        <v>6</v>
      </c>
      <c r="E12" s="7">
        <v>6</v>
      </c>
      <c r="F12" s="7">
        <v>6</v>
      </c>
      <c r="G12" s="7">
        <v>8</v>
      </c>
      <c r="H12" s="7">
        <v>8</v>
      </c>
      <c r="I12" s="7">
        <v>8</v>
      </c>
      <c r="J12" s="7"/>
      <c r="K12" s="7"/>
    </row>
    <row r="14" spans="1:11" x14ac:dyDescent="0.2">
      <c r="A14" s="1" t="s">
        <v>15</v>
      </c>
      <c r="C14" s="7">
        <f t="shared" ref="C14:I14" si="1">SUM(C10:C13)</f>
        <v>323.16711960000004</v>
      </c>
      <c r="D14" s="7">
        <f t="shared" si="1"/>
        <v>360.38639999999998</v>
      </c>
      <c r="E14" s="7">
        <f t="shared" si="1"/>
        <v>399.23148360000005</v>
      </c>
      <c r="F14" s="7">
        <f t="shared" si="1"/>
        <v>439.70237040000001</v>
      </c>
      <c r="G14" s="7">
        <f t="shared" si="1"/>
        <v>483.79906039999992</v>
      </c>
      <c r="H14" s="7">
        <f t="shared" si="1"/>
        <v>527.52155360000006</v>
      </c>
      <c r="I14" s="7">
        <f t="shared" si="1"/>
        <v>572.86985000000004</v>
      </c>
      <c r="J14" s="7"/>
      <c r="K14" s="7"/>
    </row>
    <row r="16" spans="1:11" x14ac:dyDescent="0.2">
      <c r="A16" s="1" t="s">
        <v>16</v>
      </c>
      <c r="C16" s="7">
        <v>160</v>
      </c>
      <c r="D16" s="7">
        <v>160</v>
      </c>
      <c r="E16" s="7">
        <v>160</v>
      </c>
      <c r="F16" s="7">
        <v>160</v>
      </c>
      <c r="G16" s="7">
        <v>160</v>
      </c>
      <c r="H16" s="7">
        <v>160</v>
      </c>
      <c r="I16" s="7">
        <v>160</v>
      </c>
      <c r="J16" s="7"/>
      <c r="K16" s="7"/>
    </row>
    <row r="17" spans="1:11" x14ac:dyDescent="0.2">
      <c r="A17" s="1" t="s">
        <v>7</v>
      </c>
      <c r="C17" s="7">
        <v>10</v>
      </c>
      <c r="D17" s="7">
        <v>10</v>
      </c>
      <c r="E17" s="7">
        <v>10</v>
      </c>
      <c r="F17" s="7">
        <v>10</v>
      </c>
      <c r="G17" s="7">
        <v>10</v>
      </c>
      <c r="H17" s="7">
        <v>10</v>
      </c>
      <c r="I17" s="7">
        <v>10</v>
      </c>
      <c r="J17" s="7"/>
      <c r="K17" s="7"/>
    </row>
    <row r="18" spans="1:11" x14ac:dyDescent="0.2">
      <c r="A18" s="1" t="s">
        <v>55</v>
      </c>
      <c r="C18" s="7">
        <v>12</v>
      </c>
      <c r="D18" s="7">
        <v>12</v>
      </c>
      <c r="E18" s="7">
        <v>12</v>
      </c>
      <c r="F18" s="7">
        <v>12</v>
      </c>
      <c r="G18" s="7">
        <v>12</v>
      </c>
      <c r="H18" s="7">
        <v>12</v>
      </c>
      <c r="I18" s="7">
        <v>12</v>
      </c>
      <c r="J18" s="7"/>
      <c r="K18" s="7"/>
    </row>
    <row r="19" spans="1:11" x14ac:dyDescent="0.2">
      <c r="A19" s="1" t="s">
        <v>38</v>
      </c>
      <c r="C19" s="7">
        <v>18</v>
      </c>
      <c r="D19" s="7">
        <v>18</v>
      </c>
      <c r="E19" s="7">
        <v>18</v>
      </c>
      <c r="F19" s="7">
        <v>18</v>
      </c>
      <c r="G19" s="7">
        <v>18</v>
      </c>
      <c r="H19" s="7">
        <v>18</v>
      </c>
      <c r="I19" s="7">
        <v>18</v>
      </c>
      <c r="J19" s="7"/>
      <c r="K19" s="7"/>
    </row>
    <row r="20" spans="1:11" x14ac:dyDescent="0.2">
      <c r="A20" s="1" t="s">
        <v>8</v>
      </c>
      <c r="C20" s="7">
        <v>9</v>
      </c>
      <c r="D20" s="7">
        <v>9</v>
      </c>
      <c r="E20" s="7">
        <v>9</v>
      </c>
      <c r="F20" s="7">
        <v>9</v>
      </c>
      <c r="G20" s="7">
        <v>9</v>
      </c>
      <c r="H20" s="7">
        <v>9</v>
      </c>
      <c r="I20" s="7">
        <v>9</v>
      </c>
      <c r="J20" s="7"/>
      <c r="K20" s="7"/>
    </row>
    <row r="21" spans="1:11" x14ac:dyDescent="0.2">
      <c r="C21" s="7"/>
      <c r="D21" s="7"/>
      <c r="E21" s="7"/>
      <c r="F21" s="7"/>
      <c r="G21" s="7"/>
      <c r="H21" s="7"/>
      <c r="I21" s="7"/>
      <c r="J21" s="7"/>
      <c r="K21" s="7"/>
    </row>
    <row r="22" spans="1:11" x14ac:dyDescent="0.2">
      <c r="A22" s="1" t="s">
        <v>2</v>
      </c>
      <c r="C22" s="7">
        <f>SUM(C16:C20)</f>
        <v>209</v>
      </c>
      <c r="D22" s="7">
        <f t="shared" ref="D22:I22" si="2">SUM(D16:D20)</f>
        <v>209</v>
      </c>
      <c r="E22" s="7">
        <f t="shared" si="2"/>
        <v>209</v>
      </c>
      <c r="F22" s="7">
        <f t="shared" si="2"/>
        <v>209</v>
      </c>
      <c r="G22" s="7">
        <f t="shared" si="2"/>
        <v>209</v>
      </c>
      <c r="H22" s="7">
        <f t="shared" si="2"/>
        <v>209</v>
      </c>
      <c r="I22" s="7">
        <f t="shared" si="2"/>
        <v>209</v>
      </c>
      <c r="J22" s="7"/>
      <c r="K22" s="7"/>
    </row>
    <row r="23" spans="1:11" x14ac:dyDescent="0.2">
      <c r="A23" s="1" t="s">
        <v>32</v>
      </c>
      <c r="C23" s="7">
        <f>C22*3%</f>
        <v>6.27</v>
      </c>
      <c r="D23" s="7">
        <f t="shared" ref="D23:I23" si="3">D22*3%</f>
        <v>6.27</v>
      </c>
      <c r="E23" s="7">
        <f t="shared" si="3"/>
        <v>6.27</v>
      </c>
      <c r="F23" s="7">
        <f t="shared" si="3"/>
        <v>6.27</v>
      </c>
      <c r="G23" s="7">
        <f t="shared" si="3"/>
        <v>6.27</v>
      </c>
      <c r="H23" s="7">
        <f t="shared" si="3"/>
        <v>6.27</v>
      </c>
      <c r="I23" s="7">
        <f t="shared" si="3"/>
        <v>6.27</v>
      </c>
      <c r="J23" s="7"/>
      <c r="K23" s="7"/>
    </row>
    <row r="24" spans="1:11" x14ac:dyDescent="0.2">
      <c r="C24" s="7"/>
      <c r="D24" s="7"/>
      <c r="E24" s="7"/>
      <c r="F24" s="7"/>
      <c r="G24" s="7"/>
      <c r="H24" s="7"/>
      <c r="I24" s="7"/>
      <c r="J24" s="7"/>
      <c r="K24" s="7"/>
    </row>
    <row r="25" spans="1:11" s="8" customFormat="1" x14ac:dyDescent="0.2">
      <c r="A25" s="8" t="s">
        <v>3</v>
      </c>
      <c r="C25" s="7">
        <f t="shared" ref="C25:I25" si="4">SUM(C22:C24)</f>
        <v>215.27</v>
      </c>
      <c r="D25" s="7">
        <f t="shared" si="4"/>
        <v>215.27</v>
      </c>
      <c r="E25" s="7">
        <f t="shared" si="4"/>
        <v>215.27</v>
      </c>
      <c r="F25" s="7">
        <f t="shared" si="4"/>
        <v>215.27</v>
      </c>
      <c r="G25" s="7">
        <f t="shared" si="4"/>
        <v>215.27</v>
      </c>
      <c r="H25" s="7">
        <f t="shared" si="4"/>
        <v>215.27</v>
      </c>
      <c r="I25" s="7">
        <f t="shared" si="4"/>
        <v>215.27</v>
      </c>
      <c r="J25" s="7"/>
      <c r="K25" s="7"/>
    </row>
    <row r="26" spans="1:11" x14ac:dyDescent="0.2">
      <c r="C26" s="7"/>
      <c r="D26" s="7"/>
      <c r="E26" s="7"/>
      <c r="F26" s="7"/>
      <c r="G26" s="7"/>
      <c r="H26" s="7"/>
      <c r="I26" s="7"/>
      <c r="J26" s="7"/>
      <c r="K26" s="7"/>
    </row>
    <row r="27" spans="1:11" x14ac:dyDescent="0.2">
      <c r="A27" s="1" t="s">
        <v>4</v>
      </c>
      <c r="C27" s="2">
        <f>C25*C14/1000</f>
        <v>69.568185836292017</v>
      </c>
      <c r="D27" s="2">
        <f t="shared" ref="D27:I27" si="5">D25*D14/1000</f>
        <v>77.580380328000004</v>
      </c>
      <c r="E27" s="2">
        <f t="shared" si="5"/>
        <v>85.942561474572003</v>
      </c>
      <c r="F27" s="2">
        <f t="shared" si="5"/>
        <v>94.654729276007998</v>
      </c>
      <c r="G27" s="2">
        <f t="shared" si="5"/>
        <v>104.14742373230798</v>
      </c>
      <c r="H27" s="2">
        <f t="shared" si="5"/>
        <v>113.55956484347202</v>
      </c>
      <c r="I27" s="2">
        <f t="shared" si="5"/>
        <v>123.3216926095</v>
      </c>
      <c r="J27" s="2"/>
      <c r="K27" s="2"/>
    </row>
    <row r="28" spans="1:11" x14ac:dyDescent="0.2">
      <c r="A28" s="1" t="s">
        <v>5</v>
      </c>
      <c r="C28" s="2">
        <v>15</v>
      </c>
      <c r="D28" s="2">
        <v>15</v>
      </c>
      <c r="E28" s="2">
        <v>15</v>
      </c>
      <c r="F28" s="2">
        <v>15</v>
      </c>
      <c r="G28" s="2">
        <v>15</v>
      </c>
      <c r="H28" s="2">
        <v>15</v>
      </c>
      <c r="I28" s="2">
        <v>15</v>
      </c>
      <c r="J28" s="2"/>
      <c r="K28" s="2"/>
    </row>
    <row r="29" spans="1:11" x14ac:dyDescent="0.2">
      <c r="A29" s="1" t="s">
        <v>56</v>
      </c>
      <c r="C29" s="2">
        <v>10</v>
      </c>
      <c r="D29" s="2">
        <v>10</v>
      </c>
      <c r="E29" s="2">
        <v>10</v>
      </c>
      <c r="F29" s="2">
        <v>10</v>
      </c>
      <c r="G29" s="2">
        <v>10</v>
      </c>
      <c r="H29" s="2">
        <v>10</v>
      </c>
      <c r="I29" s="2">
        <v>10</v>
      </c>
      <c r="J29" s="2"/>
      <c r="K29" s="2"/>
    </row>
    <row r="30" spans="1:11" x14ac:dyDescent="0.2">
      <c r="C30" s="2"/>
      <c r="D30" s="2"/>
      <c r="E30" s="2"/>
      <c r="F30" s="2"/>
      <c r="G30" s="2"/>
      <c r="H30" s="2"/>
      <c r="I30" s="2"/>
      <c r="J30" s="2"/>
      <c r="K30" s="2"/>
    </row>
    <row r="31" spans="1:11" x14ac:dyDescent="0.2">
      <c r="A31" s="1" t="s">
        <v>2</v>
      </c>
      <c r="C31" s="2">
        <f>SUM(C27:C30)</f>
        <v>94.568185836292017</v>
      </c>
      <c r="D31" s="2">
        <f t="shared" ref="D31:I31" si="6">SUM(D27:D30)</f>
        <v>102.580380328</v>
      </c>
      <c r="E31" s="2">
        <f t="shared" si="6"/>
        <v>110.942561474572</v>
      </c>
      <c r="F31" s="2">
        <f t="shared" si="6"/>
        <v>119.654729276008</v>
      </c>
      <c r="G31" s="2">
        <f t="shared" si="6"/>
        <v>129.14742373230797</v>
      </c>
      <c r="H31" s="2">
        <f t="shared" si="6"/>
        <v>138.559564843472</v>
      </c>
      <c r="I31" s="2">
        <f t="shared" si="6"/>
        <v>148.32169260950002</v>
      </c>
      <c r="J31" s="2"/>
      <c r="K31" s="2"/>
    </row>
    <row r="32" spans="1:11" x14ac:dyDescent="0.2">
      <c r="A32" s="1" t="s">
        <v>19</v>
      </c>
      <c r="C32" s="2">
        <f t="shared" ref="C32:I32" si="7">C31*1%</f>
        <v>0.94568185836292018</v>
      </c>
      <c r="D32" s="2">
        <f t="shared" si="7"/>
        <v>1.0258038032800001</v>
      </c>
      <c r="E32" s="2">
        <f t="shared" si="7"/>
        <v>1.10942561474572</v>
      </c>
      <c r="F32" s="2">
        <f t="shared" si="7"/>
        <v>1.19654729276008</v>
      </c>
      <c r="G32" s="2">
        <f t="shared" si="7"/>
        <v>1.2914742373230796</v>
      </c>
      <c r="H32" s="2">
        <f t="shared" si="7"/>
        <v>1.3855956484347201</v>
      </c>
      <c r="I32" s="2">
        <f t="shared" si="7"/>
        <v>1.4832169260950001</v>
      </c>
      <c r="J32" s="2"/>
      <c r="K32" s="2"/>
    </row>
    <row r="33" spans="1:11" x14ac:dyDescent="0.2">
      <c r="C33" s="2"/>
      <c r="D33" s="2"/>
      <c r="E33" s="2"/>
      <c r="F33" s="2"/>
      <c r="G33" s="2"/>
      <c r="H33" s="2"/>
      <c r="I33" s="2"/>
      <c r="J33" s="2"/>
      <c r="K33" s="2"/>
    </row>
    <row r="34" spans="1:11" x14ac:dyDescent="0.2">
      <c r="A34" s="1" t="s">
        <v>2</v>
      </c>
      <c r="C34" s="2">
        <f t="shared" ref="C34:I34" si="8">SUM(C31:C33)</f>
        <v>95.513867694654934</v>
      </c>
      <c r="D34" s="2">
        <f t="shared" si="8"/>
        <v>103.60618413128</v>
      </c>
      <c r="E34" s="2">
        <f t="shared" si="8"/>
        <v>112.05198708931772</v>
      </c>
      <c r="F34" s="2">
        <f t="shared" si="8"/>
        <v>120.85127656876807</v>
      </c>
      <c r="G34" s="2">
        <f t="shared" si="8"/>
        <v>130.43889796963106</v>
      </c>
      <c r="H34" s="2">
        <f t="shared" si="8"/>
        <v>139.94516049190673</v>
      </c>
      <c r="I34" s="2">
        <f t="shared" si="8"/>
        <v>149.80490953559502</v>
      </c>
      <c r="J34" s="2"/>
      <c r="K34" s="2"/>
    </row>
    <row r="35" spans="1:11" x14ac:dyDescent="0.2">
      <c r="A35" s="1" t="s">
        <v>42</v>
      </c>
      <c r="C35" s="2">
        <f>C34*20%</f>
        <v>19.102773538930986</v>
      </c>
      <c r="D35" s="2">
        <f t="shared" ref="D35:I35" si="9">D34*20%</f>
        <v>20.721236826256003</v>
      </c>
      <c r="E35" s="2">
        <f t="shared" si="9"/>
        <v>22.410397417863546</v>
      </c>
      <c r="F35" s="2">
        <f t="shared" si="9"/>
        <v>24.170255313753614</v>
      </c>
      <c r="G35" s="2">
        <f t="shared" si="9"/>
        <v>26.087779593926214</v>
      </c>
      <c r="H35" s="2">
        <f t="shared" si="9"/>
        <v>27.989032098381347</v>
      </c>
      <c r="I35" s="2">
        <f t="shared" si="9"/>
        <v>29.960981907119006</v>
      </c>
      <c r="J35" s="2"/>
      <c r="K35" s="2"/>
    </row>
    <row r="36" spans="1:11" x14ac:dyDescent="0.2">
      <c r="C36" s="2"/>
      <c r="D36" s="2"/>
      <c r="E36" s="2"/>
      <c r="F36" s="2"/>
      <c r="G36" s="2"/>
      <c r="H36" s="2"/>
      <c r="I36" s="2"/>
      <c r="J36" s="2"/>
      <c r="K36" s="2"/>
    </row>
    <row r="37" spans="1:11" x14ac:dyDescent="0.2">
      <c r="A37" s="1" t="s">
        <v>6</v>
      </c>
      <c r="C37" s="2">
        <f t="shared" ref="C37:I37" si="10">SUM(C34:C36)</f>
        <v>114.61664123358592</v>
      </c>
      <c r="D37" s="2">
        <f t="shared" si="10"/>
        <v>124.32742095753601</v>
      </c>
      <c r="E37" s="2">
        <f t="shared" si="10"/>
        <v>134.46238450718127</v>
      </c>
      <c r="F37" s="2">
        <f t="shared" si="10"/>
        <v>145.02153188252169</v>
      </c>
      <c r="G37" s="2">
        <f t="shared" si="10"/>
        <v>156.52667756355726</v>
      </c>
      <c r="H37" s="2">
        <f t="shared" si="10"/>
        <v>167.93419259028809</v>
      </c>
      <c r="I37" s="2">
        <f t="shared" si="10"/>
        <v>179.76589144271401</v>
      </c>
      <c r="J37" s="2"/>
      <c r="K37" s="2"/>
    </row>
    <row r="38" spans="1:11" x14ac:dyDescent="0.2">
      <c r="C38" s="2"/>
      <c r="D38" s="2"/>
      <c r="E38" s="2"/>
      <c r="F38" s="2"/>
      <c r="G38" s="2"/>
      <c r="H38" s="2"/>
      <c r="I38" s="2"/>
      <c r="J38" s="2"/>
      <c r="K38" s="2"/>
    </row>
    <row r="39" spans="1:11" x14ac:dyDescent="0.2">
      <c r="A39" s="1" t="s">
        <v>57</v>
      </c>
      <c r="C39" s="2">
        <f>C37/90</f>
        <v>1.2735182359287325</v>
      </c>
      <c r="D39" s="2">
        <f t="shared" ref="D39:I39" si="11">D37/90</f>
        <v>1.3814157884170668</v>
      </c>
      <c r="E39" s="2">
        <f t="shared" si="11"/>
        <v>1.4940264945242363</v>
      </c>
      <c r="F39" s="2">
        <f t="shared" si="11"/>
        <v>1.611350354250241</v>
      </c>
      <c r="G39" s="2">
        <f t="shared" si="11"/>
        <v>1.7391853062617473</v>
      </c>
      <c r="H39" s="2">
        <f t="shared" si="11"/>
        <v>1.8659354732254232</v>
      </c>
      <c r="I39" s="2">
        <f t="shared" si="11"/>
        <v>1.9973987938079334</v>
      </c>
      <c r="J39" s="2"/>
      <c r="K39" s="2"/>
    </row>
    <row r="40" spans="1:11" x14ac:dyDescent="0.2">
      <c r="C40" s="2"/>
      <c r="D40" s="2"/>
      <c r="E40" s="2"/>
      <c r="F40" s="2"/>
      <c r="G40" s="2"/>
      <c r="H40" s="2"/>
      <c r="I40" s="2"/>
      <c r="J40" s="2"/>
      <c r="K40" s="2"/>
    </row>
    <row r="41" spans="1:11" x14ac:dyDescent="0.2">
      <c r="A41" s="1" t="s">
        <v>58</v>
      </c>
      <c r="C41" s="2">
        <f>0.07+0.11</f>
        <v>0.18</v>
      </c>
      <c r="D41" s="2">
        <f t="shared" ref="D41:I41" si="12">0.07+0.11</f>
        <v>0.18</v>
      </c>
      <c r="E41" s="2">
        <f t="shared" si="12"/>
        <v>0.18</v>
      </c>
      <c r="F41" s="2">
        <f t="shared" si="12"/>
        <v>0.18</v>
      </c>
      <c r="G41" s="2">
        <f t="shared" si="12"/>
        <v>0.18</v>
      </c>
      <c r="H41" s="2">
        <f t="shared" si="12"/>
        <v>0.18</v>
      </c>
      <c r="I41" s="2">
        <f t="shared" si="12"/>
        <v>0.18</v>
      </c>
      <c r="J41" s="2"/>
      <c r="K41" s="2"/>
    </row>
    <row r="42" spans="1:11" x14ac:dyDescent="0.2">
      <c r="C42" s="2"/>
      <c r="D42" s="2"/>
      <c r="E42" s="2"/>
      <c r="F42" s="2"/>
      <c r="G42" s="2"/>
      <c r="H42" s="2"/>
      <c r="I42" s="2"/>
      <c r="J42" s="2"/>
      <c r="K42" s="2"/>
    </row>
    <row r="43" spans="1:11" x14ac:dyDescent="0.2">
      <c r="A43" s="1" t="s">
        <v>59</v>
      </c>
      <c r="C43" s="2">
        <f>SUM(C39:C42)</f>
        <v>1.4535182359287324</v>
      </c>
      <c r="D43" s="2">
        <f t="shared" ref="D43:I43" si="13">SUM(D39:D42)</f>
        <v>1.5614157884170667</v>
      </c>
      <c r="E43" s="2">
        <f t="shared" si="13"/>
        <v>1.6740264945242362</v>
      </c>
      <c r="F43" s="2">
        <f t="shared" si="13"/>
        <v>1.7913503542502409</v>
      </c>
      <c r="G43" s="2">
        <f t="shared" si="13"/>
        <v>1.9191853062617472</v>
      </c>
      <c r="H43" s="2">
        <f t="shared" si="13"/>
        <v>2.0459354732254234</v>
      </c>
      <c r="I43" s="2">
        <f t="shared" si="13"/>
        <v>2.1773987938079333</v>
      </c>
    </row>
    <row r="44" spans="1:11" s="6" customFormat="1" x14ac:dyDescent="0.2">
      <c r="C44" s="5"/>
      <c r="D44" s="5"/>
      <c r="E44" s="5"/>
      <c r="F44" s="5"/>
      <c r="G44" s="5"/>
      <c r="H44" s="5"/>
      <c r="I44" s="5"/>
    </row>
    <row r="45" spans="1:11" x14ac:dyDescent="0.2">
      <c r="C45" s="2"/>
      <c r="D45" s="2"/>
      <c r="E45" s="2"/>
      <c r="F45" s="2"/>
      <c r="G45" s="2"/>
      <c r="H45" s="2"/>
      <c r="I45" s="2"/>
    </row>
    <row r="46" spans="1:11" x14ac:dyDescent="0.2">
      <c r="C46" s="2"/>
      <c r="D46" s="2"/>
      <c r="E46" s="2"/>
      <c r="F46" s="2"/>
      <c r="G46" s="2"/>
      <c r="H46" s="2"/>
      <c r="I46" s="2"/>
    </row>
    <row r="47" spans="1:11" x14ac:dyDescent="0.2">
      <c r="C47" s="2"/>
      <c r="D47" s="2"/>
      <c r="E47" s="2"/>
      <c r="F47" s="2"/>
      <c r="G47" s="2"/>
      <c r="H47" s="2"/>
      <c r="I47" s="2"/>
    </row>
    <row r="48" spans="1:11" x14ac:dyDescent="0.2">
      <c r="C48" s="2"/>
      <c r="D48" s="2"/>
      <c r="E48" s="2"/>
      <c r="F48" s="2"/>
      <c r="G48" s="2"/>
      <c r="H48" s="2"/>
      <c r="I48" s="2"/>
    </row>
    <row r="49" spans="3:9" x14ac:dyDescent="0.2">
      <c r="C49" s="2"/>
      <c r="D49" s="2"/>
      <c r="E49" s="2"/>
      <c r="F49" s="2"/>
      <c r="G49" s="2"/>
      <c r="H49" s="2"/>
      <c r="I49" s="2"/>
    </row>
    <row r="50" spans="3:9" x14ac:dyDescent="0.2">
      <c r="C50" s="2"/>
      <c r="D50" s="2"/>
      <c r="E50" s="2"/>
      <c r="F50" s="2"/>
      <c r="G50" s="2"/>
      <c r="H50" s="2"/>
      <c r="I50" s="2"/>
    </row>
    <row r="51" spans="3:9" x14ac:dyDescent="0.2">
      <c r="C51" s="2"/>
      <c r="D51" s="2"/>
      <c r="E51" s="2"/>
      <c r="F51" s="2"/>
      <c r="G51" s="2"/>
      <c r="H51" s="2"/>
      <c r="I51" s="2"/>
    </row>
    <row r="52" spans="3:9" x14ac:dyDescent="0.2">
      <c r="C52" s="2"/>
      <c r="D52" s="2"/>
      <c r="E52" s="2"/>
      <c r="F52" s="2"/>
      <c r="G52" s="2"/>
      <c r="H52" s="2"/>
      <c r="I52" s="2"/>
    </row>
    <row r="53" spans="3:9" x14ac:dyDescent="0.2">
      <c r="C53" s="2"/>
      <c r="D53" s="2"/>
      <c r="E53" s="2"/>
      <c r="F53" s="2"/>
      <c r="G53" s="2"/>
      <c r="H53" s="2"/>
      <c r="I53" s="2"/>
    </row>
    <row r="54" spans="3:9" x14ac:dyDescent="0.2">
      <c r="C54" s="2"/>
      <c r="D54" s="2"/>
    </row>
    <row r="55" spans="3:9" x14ac:dyDescent="0.2">
      <c r="C55" s="2"/>
      <c r="D55" s="2"/>
    </row>
    <row r="56" spans="3:9" x14ac:dyDescent="0.2">
      <c r="C56" s="2"/>
      <c r="D56" s="2"/>
    </row>
    <row r="57" spans="3:9" x14ac:dyDescent="0.2">
      <c r="C57" s="2"/>
      <c r="D57" s="2"/>
    </row>
    <row r="58" spans="3:9" x14ac:dyDescent="0.2">
      <c r="C58" s="2"/>
      <c r="D58" s="2"/>
    </row>
    <row r="59" spans="3:9" x14ac:dyDescent="0.2">
      <c r="C59" s="2"/>
      <c r="D59" s="2"/>
    </row>
    <row r="60" spans="3:9" x14ac:dyDescent="0.2">
      <c r="C60" s="2"/>
      <c r="D60" s="2"/>
    </row>
    <row r="61" spans="3:9" x14ac:dyDescent="0.2">
      <c r="C61" s="2"/>
      <c r="D61" s="2"/>
    </row>
    <row r="62" spans="3:9" x14ac:dyDescent="0.2">
      <c r="C62" s="2"/>
      <c r="D62" s="2"/>
    </row>
    <row r="63" spans="3:9" x14ac:dyDescent="0.2">
      <c r="C63" s="10"/>
      <c r="D63" s="10"/>
    </row>
    <row r="64" spans="3:9" x14ac:dyDescent="0.2">
      <c r="C64" s="2"/>
      <c r="D64" s="2"/>
    </row>
    <row r="65" spans="3:4" x14ac:dyDescent="0.2">
      <c r="C65" s="10"/>
      <c r="D65" s="10"/>
    </row>
    <row r="66" spans="3:4" x14ac:dyDescent="0.2">
      <c r="C66" s="2"/>
      <c r="D66" s="2"/>
    </row>
    <row r="67" spans="3:4" x14ac:dyDescent="0.2">
      <c r="C67" s="10"/>
      <c r="D67" s="10"/>
    </row>
    <row r="68" spans="3:4" x14ac:dyDescent="0.2">
      <c r="C68" s="2"/>
      <c r="D68" s="2"/>
    </row>
    <row r="69" spans="3:4" x14ac:dyDescent="0.2">
      <c r="C69" s="2"/>
      <c r="D69" s="2"/>
    </row>
  </sheetData>
  <pageMargins left="0.39370078740157483" right="0.39370078740157483" top="0.39370078740157483" bottom="0.39370078740157483" header="0.39370078740157483" footer="0.39370078740157483"/>
  <pageSetup paperSize="9" scale="74"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FF1B6E-B2DD-472F-A0BF-12F6A8E3FECF}">
  <sheetPr>
    <pageSetUpPr fitToPage="1"/>
  </sheetPr>
  <dimension ref="A1:L69"/>
  <sheetViews>
    <sheetView zoomScaleNormal="100" workbookViewId="0">
      <selection activeCell="C2" sqref="C2"/>
    </sheetView>
  </sheetViews>
  <sheetFormatPr defaultColWidth="9.14453125" defaultRowHeight="15" x14ac:dyDescent="0.2"/>
  <cols>
    <col min="1" max="1" width="18.16015625" style="1" bestFit="1" customWidth="1"/>
    <col min="2" max="2" width="5.6484375" style="1" customWidth="1"/>
    <col min="3" max="10" width="17.21875" style="1" bestFit="1" customWidth="1"/>
    <col min="11" max="12" width="13.85546875" style="1" bestFit="1" customWidth="1"/>
    <col min="13" max="16384" width="9.14453125" style="1"/>
  </cols>
  <sheetData>
    <row r="1" spans="1:12" ht="30" customHeight="1" x14ac:dyDescent="0.2">
      <c r="A1" s="1" t="s">
        <v>28</v>
      </c>
      <c r="C1" s="9" t="s">
        <v>69</v>
      </c>
      <c r="D1" s="9" t="s">
        <v>69</v>
      </c>
      <c r="E1" s="9" t="s">
        <v>69</v>
      </c>
      <c r="F1" s="9" t="s">
        <v>69</v>
      </c>
      <c r="G1" s="9" t="s">
        <v>69</v>
      </c>
      <c r="H1" s="9" t="s">
        <v>69</v>
      </c>
      <c r="I1" s="9" t="s">
        <v>69</v>
      </c>
      <c r="J1" s="9" t="s">
        <v>69</v>
      </c>
      <c r="K1" s="9"/>
      <c r="L1" s="9"/>
    </row>
    <row r="2" spans="1:12" x14ac:dyDescent="0.2">
      <c r="A2" s="1" t="s">
        <v>0</v>
      </c>
      <c r="C2" s="1" t="s">
        <v>68</v>
      </c>
      <c r="D2" s="1" t="s">
        <v>68</v>
      </c>
      <c r="E2" s="1" t="s">
        <v>68</v>
      </c>
      <c r="F2" s="1" t="s">
        <v>68</v>
      </c>
      <c r="G2" s="1" t="s">
        <v>68</v>
      </c>
      <c r="H2" s="1" t="s">
        <v>68</v>
      </c>
      <c r="I2" s="1" t="s">
        <v>68</v>
      </c>
      <c r="J2" s="1" t="s">
        <v>68</v>
      </c>
    </row>
    <row r="3" spans="1:12" x14ac:dyDescent="0.2">
      <c r="A3" s="1" t="s">
        <v>1</v>
      </c>
      <c r="C3" s="1">
        <v>180</v>
      </c>
      <c r="D3" s="1">
        <v>180</v>
      </c>
      <c r="E3" s="1">
        <v>180</v>
      </c>
      <c r="F3" s="1">
        <v>180</v>
      </c>
      <c r="G3" s="1">
        <v>180</v>
      </c>
      <c r="H3" s="1">
        <v>180</v>
      </c>
      <c r="I3" s="1">
        <v>180</v>
      </c>
      <c r="J3" s="1">
        <v>180</v>
      </c>
    </row>
    <row r="4" spans="1:12" x14ac:dyDescent="0.2">
      <c r="C4" s="1" t="s">
        <v>60</v>
      </c>
      <c r="D4" s="1" t="s">
        <v>61</v>
      </c>
      <c r="E4" s="1" t="s">
        <v>62</v>
      </c>
      <c r="F4" s="1" t="s">
        <v>63</v>
      </c>
      <c r="G4" s="1" t="s">
        <v>64</v>
      </c>
      <c r="H4" s="1" t="s">
        <v>65</v>
      </c>
      <c r="I4" s="1" t="s">
        <v>66</v>
      </c>
      <c r="J4" s="1" t="s">
        <v>67</v>
      </c>
    </row>
    <row r="6" spans="1:12" x14ac:dyDescent="0.2">
      <c r="A6" s="1" t="s">
        <v>10</v>
      </c>
      <c r="C6" s="1">
        <v>26</v>
      </c>
      <c r="D6" s="1">
        <v>28</v>
      </c>
      <c r="E6" s="1">
        <v>30</v>
      </c>
      <c r="F6" s="1">
        <v>32</v>
      </c>
      <c r="G6" s="1">
        <v>34</v>
      </c>
      <c r="H6" s="1">
        <v>36</v>
      </c>
      <c r="I6" s="1">
        <v>38</v>
      </c>
      <c r="J6" s="1">
        <v>40</v>
      </c>
    </row>
    <row r="7" spans="1:12" x14ac:dyDescent="0.2">
      <c r="A7" s="1" t="s">
        <v>12</v>
      </c>
      <c r="C7" s="1">
        <v>33</v>
      </c>
      <c r="D7" s="1">
        <v>34</v>
      </c>
      <c r="E7" s="1">
        <v>35</v>
      </c>
      <c r="F7" s="1">
        <v>36</v>
      </c>
      <c r="G7" s="1">
        <v>37</v>
      </c>
      <c r="H7" s="1">
        <v>38</v>
      </c>
      <c r="I7" s="1">
        <v>39</v>
      </c>
      <c r="J7" s="1">
        <v>40</v>
      </c>
    </row>
    <row r="8" spans="1:12" x14ac:dyDescent="0.2">
      <c r="A8" s="1" t="s">
        <v>77</v>
      </c>
      <c r="C8" s="1">
        <v>37</v>
      </c>
      <c r="D8" s="1">
        <v>37.5</v>
      </c>
      <c r="E8" s="1">
        <v>38</v>
      </c>
      <c r="F8" s="1">
        <v>38.5</v>
      </c>
      <c r="G8" s="1">
        <v>39</v>
      </c>
      <c r="H8" s="1">
        <v>39.5</v>
      </c>
      <c r="I8" s="1">
        <v>40</v>
      </c>
      <c r="J8" s="1">
        <v>40.5</v>
      </c>
    </row>
    <row r="10" spans="1:12" x14ac:dyDescent="0.2">
      <c r="A10" s="1" t="s">
        <v>14</v>
      </c>
      <c r="C10" s="7">
        <f>(C6+1)*(C7+C8+3)*2*2.54*2.54/10000*C3</f>
        <v>457.7797296</v>
      </c>
      <c r="D10" s="7">
        <f t="shared" ref="D10:J10" si="0">(D6+1)*(D7+D8+3)*2*2.54*2.54/10000*D3</f>
        <v>501.79254480000003</v>
      </c>
      <c r="E10" s="7">
        <f t="shared" si="0"/>
        <v>547.19890559999999</v>
      </c>
      <c r="F10" s="7">
        <f t="shared" si="0"/>
        <v>593.99881200000004</v>
      </c>
      <c r="G10" s="7">
        <f t="shared" si="0"/>
        <v>642.19226400000014</v>
      </c>
      <c r="H10" s="7">
        <f t="shared" si="0"/>
        <v>691.77926160000004</v>
      </c>
      <c r="I10" s="7">
        <f t="shared" si="0"/>
        <v>742.7598048000001</v>
      </c>
      <c r="J10" s="7">
        <f t="shared" si="0"/>
        <v>795.13389360000008</v>
      </c>
      <c r="K10" s="7"/>
      <c r="L10" s="7"/>
    </row>
    <row r="11" spans="1:12" x14ac:dyDescent="0.2">
      <c r="A11" s="1" t="s">
        <v>21</v>
      </c>
      <c r="C11" s="7">
        <v>6</v>
      </c>
      <c r="D11" s="7">
        <v>6</v>
      </c>
      <c r="E11" s="7">
        <v>6</v>
      </c>
      <c r="F11" s="7">
        <v>6</v>
      </c>
      <c r="G11" s="7">
        <v>6</v>
      </c>
      <c r="H11" s="7">
        <v>6</v>
      </c>
      <c r="I11" s="7">
        <v>6</v>
      </c>
      <c r="J11" s="7">
        <v>6</v>
      </c>
      <c r="K11" s="7"/>
      <c r="L11" s="7"/>
    </row>
    <row r="12" spans="1:12" x14ac:dyDescent="0.2">
      <c r="A12" s="1" t="s">
        <v>13</v>
      </c>
      <c r="C12" s="7">
        <v>6</v>
      </c>
      <c r="D12" s="7">
        <v>6</v>
      </c>
      <c r="E12" s="7">
        <v>6</v>
      </c>
      <c r="F12" s="7">
        <v>6</v>
      </c>
      <c r="G12" s="7">
        <v>8</v>
      </c>
      <c r="H12" s="7">
        <v>8</v>
      </c>
      <c r="I12" s="7">
        <v>8</v>
      </c>
      <c r="J12" s="7">
        <v>8</v>
      </c>
      <c r="K12" s="7"/>
      <c r="L12" s="7"/>
    </row>
    <row r="14" spans="1:12" x14ac:dyDescent="0.2">
      <c r="A14" s="1" t="s">
        <v>15</v>
      </c>
      <c r="C14" s="7">
        <f t="shared" ref="C14:J14" si="1">SUM(C10:C13)</f>
        <v>469.7797296</v>
      </c>
      <c r="D14" s="7">
        <f t="shared" si="1"/>
        <v>513.79254480000009</v>
      </c>
      <c r="E14" s="7">
        <f t="shared" si="1"/>
        <v>559.19890559999999</v>
      </c>
      <c r="F14" s="7">
        <f t="shared" si="1"/>
        <v>605.99881200000004</v>
      </c>
      <c r="G14" s="7">
        <f t="shared" si="1"/>
        <v>656.19226400000014</v>
      </c>
      <c r="H14" s="7">
        <f t="shared" si="1"/>
        <v>705.77926160000004</v>
      </c>
      <c r="I14" s="7">
        <f t="shared" si="1"/>
        <v>756.7598048000001</v>
      </c>
      <c r="J14" s="7">
        <f t="shared" si="1"/>
        <v>809.13389360000008</v>
      </c>
      <c r="K14" s="7"/>
      <c r="L14" s="7"/>
    </row>
    <row r="16" spans="1:12" x14ac:dyDescent="0.2">
      <c r="A16" s="1" t="s">
        <v>16</v>
      </c>
      <c r="C16" s="7">
        <v>160</v>
      </c>
      <c r="D16" s="7">
        <v>160</v>
      </c>
      <c r="E16" s="7">
        <v>160</v>
      </c>
      <c r="F16" s="7">
        <v>160</v>
      </c>
      <c r="G16" s="7">
        <v>160</v>
      </c>
      <c r="H16" s="7">
        <v>160</v>
      </c>
      <c r="I16" s="7">
        <v>160</v>
      </c>
      <c r="J16" s="7">
        <v>160</v>
      </c>
      <c r="K16" s="7"/>
      <c r="L16" s="7"/>
    </row>
    <row r="17" spans="1:12" x14ac:dyDescent="0.2">
      <c r="A17" s="1" t="s">
        <v>7</v>
      </c>
      <c r="C17" s="7">
        <v>10</v>
      </c>
      <c r="D17" s="7">
        <v>10</v>
      </c>
      <c r="E17" s="7">
        <v>10</v>
      </c>
      <c r="F17" s="7">
        <v>10</v>
      </c>
      <c r="G17" s="7">
        <v>10</v>
      </c>
      <c r="H17" s="7">
        <v>10</v>
      </c>
      <c r="I17" s="7">
        <v>10</v>
      </c>
      <c r="J17" s="7">
        <v>10</v>
      </c>
      <c r="K17" s="7"/>
      <c r="L17" s="7"/>
    </row>
    <row r="18" spans="1:12" x14ac:dyDescent="0.2">
      <c r="A18" s="1" t="s">
        <v>55</v>
      </c>
      <c r="C18" s="7">
        <v>12</v>
      </c>
      <c r="D18" s="7">
        <v>12</v>
      </c>
      <c r="E18" s="7">
        <v>12</v>
      </c>
      <c r="F18" s="7">
        <v>12</v>
      </c>
      <c r="G18" s="7">
        <v>12</v>
      </c>
      <c r="H18" s="7">
        <v>12</v>
      </c>
      <c r="I18" s="7">
        <v>12</v>
      </c>
      <c r="J18" s="7">
        <v>12</v>
      </c>
      <c r="K18" s="7"/>
      <c r="L18" s="7"/>
    </row>
    <row r="19" spans="1:12" x14ac:dyDescent="0.2">
      <c r="A19" s="1" t="s">
        <v>38</v>
      </c>
      <c r="C19" s="7">
        <v>18</v>
      </c>
      <c r="D19" s="7">
        <v>18</v>
      </c>
      <c r="E19" s="7">
        <v>18</v>
      </c>
      <c r="F19" s="7">
        <v>18</v>
      </c>
      <c r="G19" s="7">
        <v>18</v>
      </c>
      <c r="H19" s="7">
        <v>18</v>
      </c>
      <c r="I19" s="7">
        <v>18</v>
      </c>
      <c r="J19" s="7">
        <v>18</v>
      </c>
      <c r="K19" s="7"/>
      <c r="L19" s="7"/>
    </row>
    <row r="20" spans="1:12" x14ac:dyDescent="0.2">
      <c r="A20" s="1" t="s">
        <v>8</v>
      </c>
      <c r="C20" s="7">
        <v>9</v>
      </c>
      <c r="D20" s="7">
        <v>9</v>
      </c>
      <c r="E20" s="7">
        <v>9</v>
      </c>
      <c r="F20" s="7">
        <v>9</v>
      </c>
      <c r="G20" s="7">
        <v>9</v>
      </c>
      <c r="H20" s="7">
        <v>9</v>
      </c>
      <c r="I20" s="7">
        <v>9</v>
      </c>
      <c r="J20" s="7">
        <v>9</v>
      </c>
      <c r="K20" s="7"/>
      <c r="L20" s="7"/>
    </row>
    <row r="21" spans="1:12" x14ac:dyDescent="0.2">
      <c r="C21" s="7"/>
      <c r="D21" s="7"/>
      <c r="E21" s="7"/>
      <c r="F21" s="7"/>
      <c r="G21" s="7"/>
      <c r="H21" s="7"/>
      <c r="I21" s="7"/>
      <c r="J21" s="7"/>
      <c r="K21" s="7"/>
      <c r="L21" s="7"/>
    </row>
    <row r="22" spans="1:12" x14ac:dyDescent="0.2">
      <c r="A22" s="1" t="s">
        <v>2</v>
      </c>
      <c r="C22" s="7">
        <f>SUM(C16:C20)</f>
        <v>209</v>
      </c>
      <c r="D22" s="7">
        <f t="shared" ref="D22:J22" si="2">SUM(D16:D20)</f>
        <v>209</v>
      </c>
      <c r="E22" s="7">
        <f t="shared" si="2"/>
        <v>209</v>
      </c>
      <c r="F22" s="7">
        <f t="shared" si="2"/>
        <v>209</v>
      </c>
      <c r="G22" s="7">
        <f t="shared" si="2"/>
        <v>209</v>
      </c>
      <c r="H22" s="7">
        <f t="shared" si="2"/>
        <v>209</v>
      </c>
      <c r="I22" s="7">
        <f t="shared" si="2"/>
        <v>209</v>
      </c>
      <c r="J22" s="7">
        <f t="shared" si="2"/>
        <v>209</v>
      </c>
      <c r="K22" s="7"/>
      <c r="L22" s="7"/>
    </row>
    <row r="23" spans="1:12" x14ac:dyDescent="0.2">
      <c r="A23" s="1" t="s">
        <v>32</v>
      </c>
      <c r="C23" s="7">
        <f>C22*3%</f>
        <v>6.27</v>
      </c>
      <c r="D23" s="7">
        <f t="shared" ref="D23:J23" si="3">D22*3%</f>
        <v>6.27</v>
      </c>
      <c r="E23" s="7">
        <f t="shared" si="3"/>
        <v>6.27</v>
      </c>
      <c r="F23" s="7">
        <f t="shared" si="3"/>
        <v>6.27</v>
      </c>
      <c r="G23" s="7">
        <f t="shared" si="3"/>
        <v>6.27</v>
      </c>
      <c r="H23" s="7">
        <f t="shared" si="3"/>
        <v>6.27</v>
      </c>
      <c r="I23" s="7">
        <f t="shared" si="3"/>
        <v>6.27</v>
      </c>
      <c r="J23" s="7">
        <f t="shared" si="3"/>
        <v>6.27</v>
      </c>
      <c r="K23" s="7"/>
      <c r="L23" s="7"/>
    </row>
    <row r="24" spans="1:12" x14ac:dyDescent="0.2">
      <c r="C24" s="7"/>
      <c r="D24" s="7"/>
      <c r="E24" s="7"/>
      <c r="F24" s="7"/>
      <c r="G24" s="7"/>
      <c r="H24" s="7"/>
      <c r="I24" s="7"/>
      <c r="J24" s="7"/>
      <c r="K24" s="7"/>
      <c r="L24" s="7"/>
    </row>
    <row r="25" spans="1:12" s="8" customFormat="1" x14ac:dyDescent="0.2">
      <c r="A25" s="8" t="s">
        <v>3</v>
      </c>
      <c r="C25" s="7">
        <f t="shared" ref="C25:J25" si="4">SUM(C22:C24)</f>
        <v>215.27</v>
      </c>
      <c r="D25" s="7">
        <f t="shared" si="4"/>
        <v>215.27</v>
      </c>
      <c r="E25" s="7">
        <f t="shared" si="4"/>
        <v>215.27</v>
      </c>
      <c r="F25" s="7">
        <f t="shared" si="4"/>
        <v>215.27</v>
      </c>
      <c r="G25" s="7">
        <f t="shared" si="4"/>
        <v>215.27</v>
      </c>
      <c r="H25" s="7">
        <f t="shared" si="4"/>
        <v>215.27</v>
      </c>
      <c r="I25" s="7">
        <f t="shared" si="4"/>
        <v>215.27</v>
      </c>
      <c r="J25" s="7">
        <f t="shared" si="4"/>
        <v>215.27</v>
      </c>
      <c r="K25" s="7"/>
      <c r="L25" s="7"/>
    </row>
    <row r="26" spans="1:12" x14ac:dyDescent="0.2">
      <c r="C26" s="7"/>
      <c r="D26" s="7"/>
      <c r="E26" s="7"/>
      <c r="F26" s="7"/>
      <c r="G26" s="7"/>
      <c r="H26" s="7"/>
      <c r="I26" s="7"/>
      <c r="J26" s="7"/>
      <c r="K26" s="7"/>
      <c r="L26" s="7"/>
    </row>
    <row r="27" spans="1:12" x14ac:dyDescent="0.2">
      <c r="A27" s="1" t="s">
        <v>4</v>
      </c>
      <c r="C27" s="2">
        <f>C25*C14/1000</f>
        <v>101.12948239099201</v>
      </c>
      <c r="D27" s="2">
        <f t="shared" ref="D27:J27" si="5">D25*D14/1000</f>
        <v>110.60412111909604</v>
      </c>
      <c r="E27" s="2">
        <f t="shared" si="5"/>
        <v>120.37874840851201</v>
      </c>
      <c r="F27" s="2">
        <f t="shared" si="5"/>
        <v>130.45336425924</v>
      </c>
      <c r="G27" s="2">
        <f t="shared" si="5"/>
        <v>141.25850867128003</v>
      </c>
      <c r="H27" s="2">
        <f t="shared" si="5"/>
        <v>151.93310164463202</v>
      </c>
      <c r="I27" s="2">
        <f t="shared" si="5"/>
        <v>162.90768317929604</v>
      </c>
      <c r="J27" s="2">
        <f t="shared" si="5"/>
        <v>174.18225327527202</v>
      </c>
      <c r="K27" s="2"/>
      <c r="L27" s="2"/>
    </row>
    <row r="28" spans="1:12" x14ac:dyDescent="0.2">
      <c r="A28" s="1" t="s">
        <v>5</v>
      </c>
      <c r="C28" s="2">
        <v>15</v>
      </c>
      <c r="D28" s="2">
        <v>15</v>
      </c>
      <c r="E28" s="2">
        <v>15</v>
      </c>
      <c r="F28" s="2">
        <v>15</v>
      </c>
      <c r="G28" s="2">
        <v>15</v>
      </c>
      <c r="H28" s="2">
        <v>15</v>
      </c>
      <c r="I28" s="2">
        <v>15</v>
      </c>
      <c r="J28" s="2">
        <v>15</v>
      </c>
      <c r="K28" s="2"/>
      <c r="L28" s="2"/>
    </row>
    <row r="29" spans="1:12" x14ac:dyDescent="0.2">
      <c r="A29" s="1" t="s">
        <v>56</v>
      </c>
      <c r="C29" s="2">
        <v>10</v>
      </c>
      <c r="D29" s="2">
        <v>10</v>
      </c>
      <c r="E29" s="2">
        <v>10</v>
      </c>
      <c r="F29" s="2">
        <v>10</v>
      </c>
      <c r="G29" s="2">
        <v>10</v>
      </c>
      <c r="H29" s="2">
        <v>10</v>
      </c>
      <c r="I29" s="2">
        <v>10</v>
      </c>
      <c r="J29" s="2">
        <v>10</v>
      </c>
      <c r="K29" s="2"/>
      <c r="L29" s="2"/>
    </row>
    <row r="30" spans="1:12" x14ac:dyDescent="0.2">
      <c r="C30" s="2"/>
      <c r="D30" s="2"/>
      <c r="E30" s="2"/>
      <c r="F30" s="2"/>
      <c r="G30" s="2"/>
      <c r="H30" s="2"/>
      <c r="I30" s="2"/>
      <c r="J30" s="2"/>
      <c r="K30" s="2"/>
      <c r="L30" s="2"/>
    </row>
    <row r="31" spans="1:12" x14ac:dyDescent="0.2">
      <c r="A31" s="1" t="s">
        <v>2</v>
      </c>
      <c r="C31" s="2">
        <f>SUM(C27:C30)</f>
        <v>126.12948239099201</v>
      </c>
      <c r="D31" s="2">
        <f t="shared" ref="D31:J31" si="6">SUM(D27:D30)</f>
        <v>135.60412111909602</v>
      </c>
      <c r="E31" s="2">
        <f t="shared" si="6"/>
        <v>145.37874840851202</v>
      </c>
      <c r="F31" s="2">
        <f t="shared" si="6"/>
        <v>155.45336425924</v>
      </c>
      <c r="G31" s="2">
        <f t="shared" si="6"/>
        <v>166.25850867128003</v>
      </c>
      <c r="H31" s="2">
        <f t="shared" si="6"/>
        <v>176.93310164463202</v>
      </c>
      <c r="I31" s="2">
        <f t="shared" si="6"/>
        <v>187.90768317929604</v>
      </c>
      <c r="J31" s="2">
        <f t="shared" si="6"/>
        <v>199.18225327527202</v>
      </c>
      <c r="K31" s="2"/>
      <c r="L31" s="2"/>
    </row>
    <row r="32" spans="1:12" x14ac:dyDescent="0.2">
      <c r="A32" s="1" t="s">
        <v>19</v>
      </c>
      <c r="C32" s="2">
        <f t="shared" ref="C32:J32" si="7">C31*1%</f>
        <v>1.2612948239099202</v>
      </c>
      <c r="D32" s="2">
        <f t="shared" si="7"/>
        <v>1.3560412111909603</v>
      </c>
      <c r="E32" s="2">
        <f t="shared" si="7"/>
        <v>1.4537874840851204</v>
      </c>
      <c r="F32" s="2">
        <f t="shared" si="7"/>
        <v>1.5545336425924001</v>
      </c>
      <c r="G32" s="2">
        <f t="shared" si="7"/>
        <v>1.6625850867128003</v>
      </c>
      <c r="H32" s="2">
        <f t="shared" si="7"/>
        <v>1.7693310164463203</v>
      </c>
      <c r="I32" s="2">
        <f t="shared" si="7"/>
        <v>1.8790768317929605</v>
      </c>
      <c r="J32" s="2">
        <f t="shared" si="7"/>
        <v>1.9918225327527201</v>
      </c>
      <c r="K32" s="2"/>
      <c r="L32" s="2"/>
    </row>
    <row r="33" spans="1:12" x14ac:dyDescent="0.2">
      <c r="C33" s="2"/>
      <c r="D33" s="2"/>
      <c r="E33" s="2"/>
      <c r="F33" s="2"/>
      <c r="G33" s="2"/>
      <c r="H33" s="2"/>
      <c r="I33" s="2"/>
      <c r="J33" s="2"/>
      <c r="K33" s="2"/>
      <c r="L33" s="2"/>
    </row>
    <row r="34" spans="1:12" x14ac:dyDescent="0.2">
      <c r="A34" s="1" t="s">
        <v>2</v>
      </c>
      <c r="C34" s="2">
        <f t="shared" ref="C34:J34" si="8">SUM(C31:C33)</f>
        <v>127.39077721490193</v>
      </c>
      <c r="D34" s="2">
        <f t="shared" si="8"/>
        <v>136.96016233028698</v>
      </c>
      <c r="E34" s="2">
        <f t="shared" si="8"/>
        <v>146.83253589259715</v>
      </c>
      <c r="F34" s="2">
        <f t="shared" si="8"/>
        <v>157.00789790183239</v>
      </c>
      <c r="G34" s="2">
        <f t="shared" si="8"/>
        <v>167.92109375799282</v>
      </c>
      <c r="H34" s="2">
        <f t="shared" si="8"/>
        <v>178.70243266107835</v>
      </c>
      <c r="I34" s="2">
        <f t="shared" si="8"/>
        <v>189.786760011089</v>
      </c>
      <c r="J34" s="2">
        <f t="shared" si="8"/>
        <v>201.17407580802472</v>
      </c>
      <c r="K34" s="2"/>
      <c r="L34" s="2"/>
    </row>
    <row r="35" spans="1:12" x14ac:dyDescent="0.2">
      <c r="A35" s="1" t="s">
        <v>42</v>
      </c>
      <c r="C35" s="2">
        <f>C34*20%</f>
        <v>25.478155442980388</v>
      </c>
      <c r="D35" s="2">
        <f t="shared" ref="D35:J35" si="9">D34*20%</f>
        <v>27.392032466057397</v>
      </c>
      <c r="E35" s="2">
        <f t="shared" si="9"/>
        <v>29.366507178519431</v>
      </c>
      <c r="F35" s="2">
        <f t="shared" si="9"/>
        <v>31.40157958036648</v>
      </c>
      <c r="G35" s="2">
        <f t="shared" si="9"/>
        <v>33.584218751598563</v>
      </c>
      <c r="H35" s="2">
        <f t="shared" si="9"/>
        <v>35.74048653221567</v>
      </c>
      <c r="I35" s="2">
        <f t="shared" si="9"/>
        <v>37.957352002217803</v>
      </c>
      <c r="J35" s="2">
        <f t="shared" si="9"/>
        <v>40.234815161604949</v>
      </c>
      <c r="K35" s="2"/>
      <c r="L35" s="2"/>
    </row>
    <row r="36" spans="1:12" x14ac:dyDescent="0.2">
      <c r="C36" s="2"/>
      <c r="D36" s="2"/>
      <c r="E36" s="2"/>
      <c r="F36" s="2"/>
      <c r="G36" s="2"/>
      <c r="H36" s="2"/>
      <c r="I36" s="2"/>
      <c r="J36" s="2"/>
      <c r="K36" s="2"/>
      <c r="L36" s="2"/>
    </row>
    <row r="37" spans="1:12" x14ac:dyDescent="0.2">
      <c r="A37" s="1" t="s">
        <v>6</v>
      </c>
      <c r="C37" s="2">
        <f t="shared" ref="C37:J37" si="10">SUM(C34:C36)</f>
        <v>152.86893265788231</v>
      </c>
      <c r="D37" s="2">
        <f t="shared" si="10"/>
        <v>164.35219479634438</v>
      </c>
      <c r="E37" s="2">
        <f t="shared" si="10"/>
        <v>176.19904307111659</v>
      </c>
      <c r="F37" s="2">
        <f t="shared" si="10"/>
        <v>188.40947748219887</v>
      </c>
      <c r="G37" s="2">
        <f t="shared" si="10"/>
        <v>201.50531250959139</v>
      </c>
      <c r="H37" s="2">
        <f t="shared" si="10"/>
        <v>214.44291919329402</v>
      </c>
      <c r="I37" s="2">
        <f t="shared" si="10"/>
        <v>227.74411201330679</v>
      </c>
      <c r="J37" s="2">
        <f t="shared" si="10"/>
        <v>241.40889096962968</v>
      </c>
      <c r="K37" s="2"/>
      <c r="L37" s="2"/>
    </row>
    <row r="38" spans="1:12" x14ac:dyDescent="0.2">
      <c r="C38" s="2"/>
      <c r="D38" s="2"/>
      <c r="E38" s="2"/>
      <c r="F38" s="2"/>
      <c r="G38" s="2"/>
      <c r="H38" s="2"/>
      <c r="I38" s="2"/>
      <c r="J38" s="2"/>
      <c r="K38" s="2"/>
      <c r="L38" s="2"/>
    </row>
    <row r="39" spans="1:12" x14ac:dyDescent="0.2">
      <c r="A39" s="1" t="s">
        <v>57</v>
      </c>
      <c r="C39" s="2">
        <f>C37/90</f>
        <v>1.6985436961986924</v>
      </c>
      <c r="D39" s="2">
        <f t="shared" ref="D39:J39" si="11">D37/90</f>
        <v>1.8261354977371598</v>
      </c>
      <c r="E39" s="2">
        <f t="shared" si="11"/>
        <v>1.9577671452346288</v>
      </c>
      <c r="F39" s="2">
        <f t="shared" si="11"/>
        <v>2.0934386386910986</v>
      </c>
      <c r="G39" s="2">
        <f t="shared" si="11"/>
        <v>2.2389479167732378</v>
      </c>
      <c r="H39" s="2">
        <f t="shared" si="11"/>
        <v>2.3826991021477113</v>
      </c>
      <c r="I39" s="2">
        <f t="shared" si="11"/>
        <v>2.5304901334811865</v>
      </c>
      <c r="J39" s="2">
        <f t="shared" si="11"/>
        <v>2.6823210107736633</v>
      </c>
      <c r="K39" s="2"/>
      <c r="L39" s="2"/>
    </row>
    <row r="40" spans="1:12" x14ac:dyDescent="0.2">
      <c r="C40" s="2"/>
      <c r="D40" s="2"/>
      <c r="E40" s="2"/>
      <c r="F40" s="2"/>
      <c r="G40" s="2"/>
      <c r="H40" s="2"/>
      <c r="I40" s="2"/>
      <c r="J40" s="2"/>
      <c r="K40" s="2"/>
      <c r="L40" s="2"/>
    </row>
    <row r="41" spans="1:12" x14ac:dyDescent="0.2">
      <c r="A41" s="1" t="s">
        <v>58</v>
      </c>
      <c r="C41" s="2">
        <f>0.07+0.11</f>
        <v>0.18</v>
      </c>
      <c r="D41" s="2">
        <f t="shared" ref="D41:J41" si="12">0.07+0.11</f>
        <v>0.18</v>
      </c>
      <c r="E41" s="2">
        <f t="shared" si="12"/>
        <v>0.18</v>
      </c>
      <c r="F41" s="2">
        <f t="shared" si="12"/>
        <v>0.18</v>
      </c>
      <c r="G41" s="2">
        <f t="shared" si="12"/>
        <v>0.18</v>
      </c>
      <c r="H41" s="2">
        <f t="shared" si="12"/>
        <v>0.18</v>
      </c>
      <c r="I41" s="2">
        <f t="shared" si="12"/>
        <v>0.18</v>
      </c>
      <c r="J41" s="2">
        <f t="shared" si="12"/>
        <v>0.18</v>
      </c>
      <c r="K41" s="2"/>
      <c r="L41" s="2"/>
    </row>
    <row r="42" spans="1:12" x14ac:dyDescent="0.2">
      <c r="C42" s="2"/>
      <c r="D42" s="2"/>
      <c r="E42" s="2"/>
      <c r="F42" s="2"/>
      <c r="G42" s="2"/>
      <c r="H42" s="2"/>
      <c r="I42" s="2"/>
      <c r="J42" s="2"/>
      <c r="K42" s="2"/>
      <c r="L42" s="2"/>
    </row>
    <row r="43" spans="1:12" x14ac:dyDescent="0.2">
      <c r="A43" s="1" t="s">
        <v>59</v>
      </c>
      <c r="C43" s="2">
        <f>SUM(C39:C42)</f>
        <v>1.8785436961986923</v>
      </c>
      <c r="D43" s="2">
        <f t="shared" ref="D43:J43" si="13">SUM(D39:D42)</f>
        <v>2.0061354977371599</v>
      </c>
      <c r="E43" s="2">
        <f t="shared" si="13"/>
        <v>2.137767145234629</v>
      </c>
      <c r="F43" s="2">
        <f t="shared" si="13"/>
        <v>2.2734386386910987</v>
      </c>
      <c r="G43" s="2">
        <f t="shared" si="13"/>
        <v>2.4189479167732379</v>
      </c>
      <c r="H43" s="2">
        <f t="shared" si="13"/>
        <v>2.5626991021477115</v>
      </c>
      <c r="I43" s="2">
        <f t="shared" si="13"/>
        <v>2.7104901334811866</v>
      </c>
      <c r="J43" s="2">
        <f t="shared" si="13"/>
        <v>2.8623210107736634</v>
      </c>
    </row>
    <row r="44" spans="1:12" s="6" customFormat="1" x14ac:dyDescent="0.2">
      <c r="C44" s="5"/>
      <c r="D44" s="5"/>
      <c r="E44" s="5"/>
      <c r="F44" s="5"/>
      <c r="G44" s="5"/>
      <c r="H44" s="5"/>
      <c r="I44" s="5"/>
      <c r="J44" s="5"/>
    </row>
    <row r="45" spans="1:12" x14ac:dyDescent="0.2">
      <c r="C45" s="2"/>
      <c r="D45" s="2"/>
      <c r="E45" s="2"/>
      <c r="F45" s="2"/>
      <c r="G45" s="2"/>
      <c r="H45" s="2"/>
      <c r="I45" s="2"/>
      <c r="J45" s="2"/>
    </row>
    <row r="46" spans="1:12" x14ac:dyDescent="0.2">
      <c r="C46" s="2"/>
      <c r="D46" s="2"/>
      <c r="E46" s="2"/>
      <c r="F46" s="2"/>
      <c r="G46" s="2"/>
      <c r="H46" s="2"/>
      <c r="I46" s="2"/>
      <c r="J46" s="2"/>
    </row>
    <row r="47" spans="1:12" x14ac:dyDescent="0.2">
      <c r="C47" s="2"/>
      <c r="D47" s="2"/>
      <c r="E47" s="2"/>
      <c r="F47" s="2"/>
      <c r="G47" s="2"/>
      <c r="H47" s="2"/>
      <c r="I47" s="2"/>
      <c r="J47" s="2"/>
    </row>
    <row r="48" spans="1:12" x14ac:dyDescent="0.2">
      <c r="C48" s="2"/>
      <c r="D48" s="2"/>
      <c r="E48" s="2"/>
      <c r="F48" s="2"/>
      <c r="G48" s="2"/>
      <c r="H48" s="2"/>
      <c r="I48" s="2"/>
      <c r="J48" s="2"/>
    </row>
    <row r="49" spans="3:10" x14ac:dyDescent="0.2">
      <c r="C49" s="2"/>
      <c r="D49" s="2"/>
      <c r="E49" s="2"/>
      <c r="F49" s="2"/>
      <c r="G49" s="2"/>
      <c r="H49" s="2"/>
      <c r="I49" s="2"/>
      <c r="J49" s="2"/>
    </row>
    <row r="50" spans="3:10" x14ac:dyDescent="0.2">
      <c r="C50" s="2"/>
      <c r="D50" s="2"/>
      <c r="E50" s="2"/>
      <c r="F50" s="2"/>
      <c r="G50" s="2"/>
      <c r="H50" s="2"/>
      <c r="I50" s="2"/>
      <c r="J50" s="2"/>
    </row>
    <row r="51" spans="3:10" x14ac:dyDescent="0.2">
      <c r="C51" s="2"/>
      <c r="D51" s="2"/>
      <c r="E51" s="2"/>
      <c r="F51" s="2"/>
      <c r="G51" s="2"/>
      <c r="H51" s="2"/>
      <c r="I51" s="2"/>
      <c r="J51" s="2"/>
    </row>
    <row r="52" spans="3:10" x14ac:dyDescent="0.2">
      <c r="C52" s="2"/>
      <c r="D52" s="2"/>
      <c r="E52" s="2"/>
      <c r="F52" s="2"/>
      <c r="G52" s="2"/>
      <c r="H52" s="2"/>
      <c r="I52" s="2"/>
      <c r="J52" s="2"/>
    </row>
    <row r="53" spans="3:10" x14ac:dyDescent="0.2">
      <c r="C53" s="2"/>
      <c r="D53" s="2"/>
      <c r="E53" s="2"/>
      <c r="F53" s="2"/>
      <c r="G53" s="2"/>
      <c r="H53" s="2"/>
      <c r="I53" s="2"/>
      <c r="J53" s="2"/>
    </row>
    <row r="54" spans="3:10" x14ac:dyDescent="0.2">
      <c r="C54" s="2"/>
      <c r="D54" s="2"/>
    </row>
    <row r="55" spans="3:10" x14ac:dyDescent="0.2">
      <c r="C55" s="2"/>
      <c r="D55" s="2"/>
    </row>
    <row r="56" spans="3:10" x14ac:dyDescent="0.2">
      <c r="C56" s="2"/>
      <c r="D56" s="2"/>
    </row>
    <row r="57" spans="3:10" x14ac:dyDescent="0.2">
      <c r="C57" s="2"/>
      <c r="D57" s="2"/>
    </row>
    <row r="58" spans="3:10" x14ac:dyDescent="0.2">
      <c r="C58" s="2"/>
      <c r="D58" s="2"/>
    </row>
    <row r="59" spans="3:10" x14ac:dyDescent="0.2">
      <c r="C59" s="2"/>
      <c r="D59" s="2"/>
    </row>
    <row r="60" spans="3:10" x14ac:dyDescent="0.2">
      <c r="C60" s="2"/>
      <c r="D60" s="2"/>
    </row>
    <row r="61" spans="3:10" x14ac:dyDescent="0.2">
      <c r="C61" s="2"/>
      <c r="D61" s="2"/>
    </row>
    <row r="62" spans="3:10" x14ac:dyDescent="0.2">
      <c r="C62" s="2"/>
      <c r="D62" s="2"/>
    </row>
    <row r="63" spans="3:10" x14ac:dyDescent="0.2">
      <c r="C63" s="10"/>
      <c r="D63" s="10"/>
    </row>
    <row r="64" spans="3:10" x14ac:dyDescent="0.2">
      <c r="C64" s="2"/>
      <c r="D64" s="2"/>
    </row>
    <row r="65" spans="3:4" x14ac:dyDescent="0.2">
      <c r="C65" s="10"/>
      <c r="D65" s="10"/>
    </row>
    <row r="66" spans="3:4" x14ac:dyDescent="0.2">
      <c r="C66" s="2"/>
      <c r="D66" s="2"/>
    </row>
    <row r="67" spans="3:4" x14ac:dyDescent="0.2">
      <c r="C67" s="10"/>
      <c r="D67" s="10"/>
    </row>
    <row r="68" spans="3:4" x14ac:dyDescent="0.2">
      <c r="C68" s="2"/>
      <c r="D68" s="2"/>
    </row>
    <row r="69" spans="3:4" x14ac:dyDescent="0.2">
      <c r="C69" s="2"/>
      <c r="D69" s="2"/>
    </row>
  </sheetData>
  <pageMargins left="0.39370078740157483" right="0.39370078740157483" top="0.39370078740157483" bottom="0.39370078740157483" header="0.39370078740157483" footer="0.39370078740157483"/>
  <pageSetup paperSize="9" scale="74"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10E3FE-E5B6-463C-8516-0545B6FE6164}">
  <sheetPr>
    <pageSetUpPr fitToPage="1"/>
  </sheetPr>
  <dimension ref="A1:L69"/>
  <sheetViews>
    <sheetView topLeftCell="A33" zoomScaleNormal="100" workbookViewId="0">
      <selection activeCell="I43" sqref="I43:J43"/>
    </sheetView>
  </sheetViews>
  <sheetFormatPr defaultColWidth="9.14453125" defaultRowHeight="15" x14ac:dyDescent="0.2"/>
  <cols>
    <col min="1" max="1" width="18.16015625" style="1" bestFit="1" customWidth="1"/>
    <col min="2" max="2" width="5.6484375" style="1" customWidth="1"/>
    <col min="3" max="10" width="17.21875" style="1" bestFit="1" customWidth="1"/>
    <col min="11" max="12" width="13.85546875" style="1" bestFit="1" customWidth="1"/>
    <col min="13" max="16384" width="9.14453125" style="1"/>
  </cols>
  <sheetData>
    <row r="1" spans="1:12" ht="30" customHeight="1" x14ac:dyDescent="0.2">
      <c r="A1" s="1" t="s">
        <v>28</v>
      </c>
      <c r="C1" s="9" t="s">
        <v>69</v>
      </c>
      <c r="D1" s="9" t="s">
        <v>69</v>
      </c>
      <c r="E1" s="9" t="s">
        <v>69</v>
      </c>
      <c r="F1" s="9" t="s">
        <v>69</v>
      </c>
      <c r="G1" s="9" t="s">
        <v>69</v>
      </c>
      <c r="H1" s="9" t="s">
        <v>69</v>
      </c>
      <c r="I1" s="9" t="s">
        <v>69</v>
      </c>
      <c r="J1" s="9" t="s">
        <v>69</v>
      </c>
      <c r="K1" s="9"/>
      <c r="L1" s="9"/>
    </row>
    <row r="2" spans="1:12" x14ac:dyDescent="0.2">
      <c r="A2" s="1" t="s">
        <v>0</v>
      </c>
      <c r="C2" s="1" t="s">
        <v>68</v>
      </c>
      <c r="D2" s="1" t="s">
        <v>68</v>
      </c>
      <c r="E2" s="1" t="s">
        <v>68</v>
      </c>
      <c r="F2" s="1" t="s">
        <v>68</v>
      </c>
      <c r="G2" s="1" t="s">
        <v>68</v>
      </c>
      <c r="H2" s="1" t="s">
        <v>68</v>
      </c>
      <c r="I2" s="1" t="s">
        <v>68</v>
      </c>
      <c r="J2" s="1" t="s">
        <v>68</v>
      </c>
    </row>
    <row r="3" spans="1:12" x14ac:dyDescent="0.2">
      <c r="A3" s="1" t="s">
        <v>1</v>
      </c>
      <c r="C3" s="1">
        <v>180</v>
      </c>
      <c r="D3" s="1">
        <v>180</v>
      </c>
      <c r="E3" s="1">
        <v>180</v>
      </c>
      <c r="F3" s="1">
        <v>180</v>
      </c>
      <c r="G3" s="1">
        <v>180</v>
      </c>
      <c r="H3" s="1">
        <v>180</v>
      </c>
      <c r="I3" s="1">
        <v>180</v>
      </c>
      <c r="J3" s="1">
        <v>180</v>
      </c>
    </row>
    <row r="4" spans="1:12" x14ac:dyDescent="0.2">
      <c r="C4" s="1" t="s">
        <v>60</v>
      </c>
      <c r="D4" s="1" t="s">
        <v>61</v>
      </c>
      <c r="E4" s="1" t="s">
        <v>62</v>
      </c>
      <c r="F4" s="1" t="s">
        <v>63</v>
      </c>
      <c r="G4" s="1" t="s">
        <v>64</v>
      </c>
      <c r="H4" s="1" t="s">
        <v>65</v>
      </c>
      <c r="I4" s="1" t="s">
        <v>66</v>
      </c>
      <c r="J4" s="1" t="s">
        <v>67</v>
      </c>
    </row>
    <row r="6" spans="1:12" x14ac:dyDescent="0.2">
      <c r="A6" s="1" t="s">
        <v>10</v>
      </c>
      <c r="C6" s="1">
        <v>26</v>
      </c>
      <c r="D6" s="1">
        <v>28</v>
      </c>
      <c r="E6" s="1">
        <v>30</v>
      </c>
      <c r="F6" s="1">
        <v>32</v>
      </c>
      <c r="G6" s="1">
        <v>34</v>
      </c>
      <c r="H6" s="1">
        <v>36</v>
      </c>
      <c r="I6" s="1">
        <v>38</v>
      </c>
      <c r="J6" s="1">
        <v>40</v>
      </c>
    </row>
    <row r="7" spans="1:12" x14ac:dyDescent="0.2">
      <c r="A7" s="1" t="s">
        <v>12</v>
      </c>
      <c r="C7" s="1">
        <v>33</v>
      </c>
      <c r="D7" s="1">
        <v>34</v>
      </c>
      <c r="E7" s="1">
        <v>35</v>
      </c>
      <c r="F7" s="1">
        <v>36</v>
      </c>
      <c r="G7" s="1">
        <v>37</v>
      </c>
      <c r="H7" s="1">
        <v>38</v>
      </c>
      <c r="I7" s="1">
        <v>39</v>
      </c>
      <c r="J7" s="1">
        <v>40</v>
      </c>
    </row>
    <row r="8" spans="1:12" x14ac:dyDescent="0.2">
      <c r="A8" s="1" t="s">
        <v>77</v>
      </c>
      <c r="C8" s="1">
        <v>21.25</v>
      </c>
      <c r="D8" s="1">
        <v>22</v>
      </c>
      <c r="E8" s="1">
        <v>22.75</v>
      </c>
      <c r="F8" s="1">
        <v>23.5</v>
      </c>
      <c r="G8" s="1">
        <v>24.25</v>
      </c>
      <c r="H8" s="1">
        <v>25</v>
      </c>
      <c r="I8" s="1">
        <v>25.75</v>
      </c>
      <c r="J8" s="1">
        <v>26.5</v>
      </c>
    </row>
    <row r="10" spans="1:12" x14ac:dyDescent="0.2">
      <c r="A10" s="1" t="s">
        <v>14</v>
      </c>
      <c r="C10" s="7">
        <f>(C6+1)*(C7+C8+3)*2*2.54*2.54/10000*C3</f>
        <v>359.01218520000003</v>
      </c>
      <c r="D10" s="7">
        <f t="shared" ref="D10:J10" si="0">(D6+1)*(D7+D8+3)*2*2.54*2.54/10000*D3</f>
        <v>397.39275360000005</v>
      </c>
      <c r="E10" s="7">
        <f t="shared" si="0"/>
        <v>437.39912520000007</v>
      </c>
      <c r="F10" s="7">
        <f t="shared" si="0"/>
        <v>479.03130000000004</v>
      </c>
      <c r="G10" s="7">
        <f t="shared" si="0"/>
        <v>522.28927799999997</v>
      </c>
      <c r="H10" s="7">
        <f t="shared" si="0"/>
        <v>567.17305920000001</v>
      </c>
      <c r="I10" s="7">
        <f t="shared" si="0"/>
        <v>613.68264360000012</v>
      </c>
      <c r="J10" s="7">
        <f t="shared" si="0"/>
        <v>661.81803120000006</v>
      </c>
      <c r="K10" s="7"/>
      <c r="L10" s="7"/>
    </row>
    <row r="11" spans="1:12" x14ac:dyDescent="0.2">
      <c r="A11" s="1" t="s">
        <v>21</v>
      </c>
      <c r="C11" s="7">
        <v>6</v>
      </c>
      <c r="D11" s="7">
        <v>6</v>
      </c>
      <c r="E11" s="7">
        <v>6</v>
      </c>
      <c r="F11" s="7">
        <v>6</v>
      </c>
      <c r="G11" s="7">
        <v>6</v>
      </c>
      <c r="H11" s="7">
        <v>6</v>
      </c>
      <c r="I11" s="7">
        <v>6</v>
      </c>
      <c r="J11" s="7">
        <v>6</v>
      </c>
      <c r="K11" s="7"/>
      <c r="L11" s="7"/>
    </row>
    <row r="12" spans="1:12" x14ac:dyDescent="0.2">
      <c r="A12" s="1" t="s">
        <v>13</v>
      </c>
      <c r="C12" s="7">
        <v>6</v>
      </c>
      <c r="D12" s="7">
        <v>6</v>
      </c>
      <c r="E12" s="7">
        <v>6</v>
      </c>
      <c r="F12" s="7">
        <v>6</v>
      </c>
      <c r="G12" s="7">
        <v>8</v>
      </c>
      <c r="H12" s="7">
        <v>8</v>
      </c>
      <c r="I12" s="7">
        <v>8</v>
      </c>
      <c r="J12" s="7">
        <v>8</v>
      </c>
      <c r="K12" s="7"/>
      <c r="L12" s="7"/>
    </row>
    <row r="14" spans="1:12" x14ac:dyDescent="0.2">
      <c r="A14" s="1" t="s">
        <v>15</v>
      </c>
      <c r="C14" s="7">
        <f t="shared" ref="C14:J14" si="1">SUM(C10:C13)</f>
        <v>371.01218520000003</v>
      </c>
      <c r="D14" s="7">
        <f t="shared" si="1"/>
        <v>409.39275360000005</v>
      </c>
      <c r="E14" s="7">
        <f t="shared" si="1"/>
        <v>449.39912520000007</v>
      </c>
      <c r="F14" s="7">
        <f t="shared" si="1"/>
        <v>491.03130000000004</v>
      </c>
      <c r="G14" s="7">
        <f t="shared" si="1"/>
        <v>536.28927799999997</v>
      </c>
      <c r="H14" s="7">
        <f t="shared" si="1"/>
        <v>581.17305920000001</v>
      </c>
      <c r="I14" s="7">
        <f t="shared" si="1"/>
        <v>627.68264360000012</v>
      </c>
      <c r="J14" s="7">
        <f t="shared" si="1"/>
        <v>675.81803120000006</v>
      </c>
      <c r="K14" s="7"/>
      <c r="L14" s="7"/>
    </row>
    <row r="16" spans="1:12" x14ac:dyDescent="0.2">
      <c r="A16" s="1" t="s">
        <v>16</v>
      </c>
      <c r="C16" s="7">
        <v>160</v>
      </c>
      <c r="D16" s="7">
        <v>160</v>
      </c>
      <c r="E16" s="7">
        <v>160</v>
      </c>
      <c r="F16" s="7">
        <v>160</v>
      </c>
      <c r="G16" s="7">
        <v>160</v>
      </c>
      <c r="H16" s="7">
        <v>160</v>
      </c>
      <c r="I16" s="7">
        <v>160</v>
      </c>
      <c r="J16" s="7">
        <v>160</v>
      </c>
      <c r="K16" s="7"/>
      <c r="L16" s="7"/>
    </row>
    <row r="17" spans="1:12" x14ac:dyDescent="0.2">
      <c r="A17" s="1" t="s">
        <v>7</v>
      </c>
      <c r="C17" s="7">
        <v>10</v>
      </c>
      <c r="D17" s="7">
        <v>10</v>
      </c>
      <c r="E17" s="7">
        <v>10</v>
      </c>
      <c r="F17" s="7">
        <v>10</v>
      </c>
      <c r="G17" s="7">
        <v>10</v>
      </c>
      <c r="H17" s="7">
        <v>10</v>
      </c>
      <c r="I17" s="7">
        <v>10</v>
      </c>
      <c r="J17" s="7">
        <v>10</v>
      </c>
      <c r="K17" s="7"/>
      <c r="L17" s="7"/>
    </row>
    <row r="18" spans="1:12" x14ac:dyDescent="0.2">
      <c r="A18" s="1" t="s">
        <v>55</v>
      </c>
      <c r="C18" s="7">
        <v>12</v>
      </c>
      <c r="D18" s="7">
        <v>12</v>
      </c>
      <c r="E18" s="7">
        <v>12</v>
      </c>
      <c r="F18" s="7">
        <v>12</v>
      </c>
      <c r="G18" s="7">
        <v>12</v>
      </c>
      <c r="H18" s="7">
        <v>12</v>
      </c>
      <c r="I18" s="7">
        <v>12</v>
      </c>
      <c r="J18" s="7">
        <v>12</v>
      </c>
      <c r="K18" s="7"/>
      <c r="L18" s="7"/>
    </row>
    <row r="19" spans="1:12" x14ac:dyDescent="0.2">
      <c r="A19" s="1" t="s">
        <v>38</v>
      </c>
      <c r="C19" s="7">
        <v>18</v>
      </c>
      <c r="D19" s="7">
        <v>18</v>
      </c>
      <c r="E19" s="7">
        <v>18</v>
      </c>
      <c r="F19" s="7">
        <v>18</v>
      </c>
      <c r="G19" s="7">
        <v>18</v>
      </c>
      <c r="H19" s="7">
        <v>18</v>
      </c>
      <c r="I19" s="7">
        <v>18</v>
      </c>
      <c r="J19" s="7">
        <v>18</v>
      </c>
      <c r="K19" s="7"/>
      <c r="L19" s="7"/>
    </row>
    <row r="20" spans="1:12" x14ac:dyDescent="0.2">
      <c r="A20" s="1" t="s">
        <v>8</v>
      </c>
      <c r="C20" s="7">
        <v>9</v>
      </c>
      <c r="D20" s="7">
        <v>9</v>
      </c>
      <c r="E20" s="7">
        <v>9</v>
      </c>
      <c r="F20" s="7">
        <v>9</v>
      </c>
      <c r="G20" s="7">
        <v>9</v>
      </c>
      <c r="H20" s="7">
        <v>9</v>
      </c>
      <c r="I20" s="7">
        <v>9</v>
      </c>
      <c r="J20" s="7">
        <v>9</v>
      </c>
      <c r="K20" s="7"/>
      <c r="L20" s="7"/>
    </row>
    <row r="21" spans="1:12" x14ac:dyDescent="0.2">
      <c r="C21" s="7"/>
      <c r="D21" s="7"/>
      <c r="E21" s="7"/>
      <c r="F21" s="7"/>
      <c r="G21" s="7"/>
      <c r="H21" s="7"/>
      <c r="I21" s="7"/>
      <c r="J21" s="7"/>
      <c r="K21" s="7"/>
      <c r="L21" s="7"/>
    </row>
    <row r="22" spans="1:12" x14ac:dyDescent="0.2">
      <c r="A22" s="1" t="s">
        <v>2</v>
      </c>
      <c r="C22" s="7">
        <f>SUM(C16:C20)</f>
        <v>209</v>
      </c>
      <c r="D22" s="7">
        <f t="shared" ref="D22:J22" si="2">SUM(D16:D20)</f>
        <v>209</v>
      </c>
      <c r="E22" s="7">
        <f t="shared" si="2"/>
        <v>209</v>
      </c>
      <c r="F22" s="7">
        <f t="shared" si="2"/>
        <v>209</v>
      </c>
      <c r="G22" s="7">
        <f t="shared" si="2"/>
        <v>209</v>
      </c>
      <c r="H22" s="7">
        <f t="shared" si="2"/>
        <v>209</v>
      </c>
      <c r="I22" s="7">
        <f t="shared" si="2"/>
        <v>209</v>
      </c>
      <c r="J22" s="7">
        <f t="shared" si="2"/>
        <v>209</v>
      </c>
      <c r="K22" s="7"/>
      <c r="L22" s="7"/>
    </row>
    <row r="23" spans="1:12" x14ac:dyDescent="0.2">
      <c r="A23" s="1" t="s">
        <v>32</v>
      </c>
      <c r="C23" s="7">
        <f>C22*3%</f>
        <v>6.27</v>
      </c>
      <c r="D23" s="7">
        <f t="shared" ref="D23:J23" si="3">D22*3%</f>
        <v>6.27</v>
      </c>
      <c r="E23" s="7">
        <f t="shared" si="3"/>
        <v>6.27</v>
      </c>
      <c r="F23" s="7">
        <f t="shared" si="3"/>
        <v>6.27</v>
      </c>
      <c r="G23" s="7">
        <f t="shared" si="3"/>
        <v>6.27</v>
      </c>
      <c r="H23" s="7">
        <f t="shared" si="3"/>
        <v>6.27</v>
      </c>
      <c r="I23" s="7">
        <f t="shared" si="3"/>
        <v>6.27</v>
      </c>
      <c r="J23" s="7">
        <f t="shared" si="3"/>
        <v>6.27</v>
      </c>
      <c r="K23" s="7"/>
      <c r="L23" s="7"/>
    </row>
    <row r="24" spans="1:12" x14ac:dyDescent="0.2">
      <c r="C24" s="7"/>
      <c r="D24" s="7"/>
      <c r="E24" s="7"/>
      <c r="F24" s="7"/>
      <c r="G24" s="7"/>
      <c r="H24" s="7"/>
      <c r="I24" s="7"/>
      <c r="J24" s="7"/>
      <c r="K24" s="7"/>
      <c r="L24" s="7"/>
    </row>
    <row r="25" spans="1:12" s="8" customFormat="1" x14ac:dyDescent="0.2">
      <c r="A25" s="8" t="s">
        <v>3</v>
      </c>
      <c r="C25" s="7">
        <f t="shared" ref="C25:J25" si="4">SUM(C22:C24)</f>
        <v>215.27</v>
      </c>
      <c r="D25" s="7">
        <f t="shared" si="4"/>
        <v>215.27</v>
      </c>
      <c r="E25" s="7">
        <f t="shared" si="4"/>
        <v>215.27</v>
      </c>
      <c r="F25" s="7">
        <f t="shared" si="4"/>
        <v>215.27</v>
      </c>
      <c r="G25" s="7">
        <f t="shared" si="4"/>
        <v>215.27</v>
      </c>
      <c r="H25" s="7">
        <f t="shared" si="4"/>
        <v>215.27</v>
      </c>
      <c r="I25" s="7">
        <f t="shared" si="4"/>
        <v>215.27</v>
      </c>
      <c r="J25" s="7">
        <f t="shared" si="4"/>
        <v>215.27</v>
      </c>
      <c r="K25" s="7"/>
      <c r="L25" s="7"/>
    </row>
    <row r="26" spans="1:12" x14ac:dyDescent="0.2">
      <c r="C26" s="7"/>
      <c r="D26" s="7"/>
      <c r="E26" s="7"/>
      <c r="F26" s="7"/>
      <c r="G26" s="7"/>
      <c r="H26" s="7"/>
      <c r="I26" s="7"/>
      <c r="J26" s="7"/>
      <c r="K26" s="7"/>
      <c r="L26" s="7"/>
    </row>
    <row r="27" spans="1:12" x14ac:dyDescent="0.2">
      <c r="A27" s="1" t="s">
        <v>4</v>
      </c>
      <c r="C27" s="2">
        <f>C25*C14/1000</f>
        <v>79.867793108004008</v>
      </c>
      <c r="D27" s="2">
        <f t="shared" ref="D27:J27" si="5">D25*D14/1000</f>
        <v>88.12997806747201</v>
      </c>
      <c r="E27" s="2">
        <f t="shared" si="5"/>
        <v>96.742149681804023</v>
      </c>
      <c r="F27" s="2">
        <f t="shared" si="5"/>
        <v>105.704307951</v>
      </c>
      <c r="G27" s="2">
        <f t="shared" si="5"/>
        <v>115.44699287505999</v>
      </c>
      <c r="H27" s="2">
        <f t="shared" si="5"/>
        <v>125.10912445398401</v>
      </c>
      <c r="I27" s="2">
        <f t="shared" si="5"/>
        <v>135.12124268777202</v>
      </c>
      <c r="J27" s="2">
        <f t="shared" si="5"/>
        <v>145.48334757642402</v>
      </c>
      <c r="K27" s="2"/>
      <c r="L27" s="2"/>
    </row>
    <row r="28" spans="1:12" x14ac:dyDescent="0.2">
      <c r="A28" s="1" t="s">
        <v>5</v>
      </c>
      <c r="C28" s="2">
        <v>15</v>
      </c>
      <c r="D28" s="2">
        <v>15</v>
      </c>
      <c r="E28" s="2">
        <v>15</v>
      </c>
      <c r="F28" s="2">
        <v>15</v>
      </c>
      <c r="G28" s="2">
        <v>15</v>
      </c>
      <c r="H28" s="2">
        <v>15</v>
      </c>
      <c r="I28" s="2">
        <v>15</v>
      </c>
      <c r="J28" s="2">
        <v>15</v>
      </c>
      <c r="K28" s="2"/>
      <c r="L28" s="2"/>
    </row>
    <row r="29" spans="1:12" x14ac:dyDescent="0.2">
      <c r="A29" s="1" t="s">
        <v>56</v>
      </c>
      <c r="C29" s="2">
        <v>10</v>
      </c>
      <c r="D29" s="2">
        <v>10</v>
      </c>
      <c r="E29" s="2">
        <v>10</v>
      </c>
      <c r="F29" s="2">
        <v>10</v>
      </c>
      <c r="G29" s="2">
        <v>10</v>
      </c>
      <c r="H29" s="2">
        <v>10</v>
      </c>
      <c r="I29" s="2">
        <v>10</v>
      </c>
      <c r="J29" s="2">
        <v>10</v>
      </c>
      <c r="K29" s="2"/>
      <c r="L29" s="2"/>
    </row>
    <row r="30" spans="1:12" x14ac:dyDescent="0.2">
      <c r="C30" s="2"/>
      <c r="D30" s="2"/>
      <c r="E30" s="2"/>
      <c r="F30" s="2"/>
      <c r="G30" s="2"/>
      <c r="H30" s="2"/>
      <c r="I30" s="2"/>
      <c r="J30" s="2"/>
      <c r="K30" s="2"/>
      <c r="L30" s="2"/>
    </row>
    <row r="31" spans="1:12" x14ac:dyDescent="0.2">
      <c r="A31" s="1" t="s">
        <v>2</v>
      </c>
      <c r="C31" s="2">
        <f>SUM(C27:C30)</f>
        <v>104.86779310800401</v>
      </c>
      <c r="D31" s="2">
        <f t="shared" ref="D31:J31" si="6">SUM(D27:D30)</f>
        <v>113.12997806747201</v>
      </c>
      <c r="E31" s="2">
        <f t="shared" si="6"/>
        <v>121.74214968180402</v>
      </c>
      <c r="F31" s="2">
        <f t="shared" si="6"/>
        <v>130.704307951</v>
      </c>
      <c r="G31" s="2">
        <f t="shared" si="6"/>
        <v>140.44699287506</v>
      </c>
      <c r="H31" s="2">
        <f t="shared" si="6"/>
        <v>150.10912445398401</v>
      </c>
      <c r="I31" s="2">
        <f t="shared" si="6"/>
        <v>160.12124268777202</v>
      </c>
      <c r="J31" s="2">
        <f t="shared" si="6"/>
        <v>170.48334757642402</v>
      </c>
      <c r="K31" s="2"/>
      <c r="L31" s="2"/>
    </row>
    <row r="32" spans="1:12" x14ac:dyDescent="0.2">
      <c r="A32" s="1" t="s">
        <v>19</v>
      </c>
      <c r="C32" s="2">
        <f t="shared" ref="C32:J32" si="7">C31*1%</f>
        <v>1.04867793108004</v>
      </c>
      <c r="D32" s="2">
        <f t="shared" si="7"/>
        <v>1.13129978067472</v>
      </c>
      <c r="E32" s="2">
        <f t="shared" si="7"/>
        <v>1.2174214968180403</v>
      </c>
      <c r="F32" s="2">
        <f t="shared" si="7"/>
        <v>1.3070430795100001</v>
      </c>
      <c r="G32" s="2">
        <f t="shared" si="7"/>
        <v>1.4044699287506002</v>
      </c>
      <c r="H32" s="2">
        <f t="shared" si="7"/>
        <v>1.5010912445398401</v>
      </c>
      <c r="I32" s="2">
        <f t="shared" si="7"/>
        <v>1.6012124268777204</v>
      </c>
      <c r="J32" s="2">
        <f t="shared" si="7"/>
        <v>1.7048334757642403</v>
      </c>
      <c r="K32" s="2"/>
      <c r="L32" s="2"/>
    </row>
    <row r="33" spans="1:12" x14ac:dyDescent="0.2">
      <c r="C33" s="2"/>
      <c r="D33" s="2"/>
      <c r="E33" s="2"/>
      <c r="F33" s="2"/>
      <c r="G33" s="2"/>
      <c r="H33" s="2"/>
      <c r="I33" s="2"/>
      <c r="J33" s="2"/>
      <c r="K33" s="2"/>
      <c r="L33" s="2"/>
    </row>
    <row r="34" spans="1:12" x14ac:dyDescent="0.2">
      <c r="A34" s="1" t="s">
        <v>2</v>
      </c>
      <c r="C34" s="2">
        <f t="shared" ref="C34:J34" si="8">SUM(C31:C33)</f>
        <v>105.91647103908404</v>
      </c>
      <c r="D34" s="2">
        <f t="shared" si="8"/>
        <v>114.26127784814673</v>
      </c>
      <c r="E34" s="2">
        <f t="shared" si="8"/>
        <v>122.95957117862206</v>
      </c>
      <c r="F34" s="2">
        <f t="shared" si="8"/>
        <v>132.01135103051001</v>
      </c>
      <c r="G34" s="2">
        <f t="shared" si="8"/>
        <v>141.85146280381059</v>
      </c>
      <c r="H34" s="2">
        <f t="shared" si="8"/>
        <v>151.61021569852386</v>
      </c>
      <c r="I34" s="2">
        <f t="shared" si="8"/>
        <v>161.72245511464973</v>
      </c>
      <c r="J34" s="2">
        <f t="shared" si="8"/>
        <v>172.18818105218827</v>
      </c>
      <c r="K34" s="2"/>
      <c r="L34" s="2"/>
    </row>
    <row r="35" spans="1:12" x14ac:dyDescent="0.2">
      <c r="A35" s="1" t="s">
        <v>42</v>
      </c>
      <c r="C35" s="2">
        <f>C34*20%</f>
        <v>21.183294207816811</v>
      </c>
      <c r="D35" s="2">
        <f t="shared" ref="D35:J35" si="9">D34*20%</f>
        <v>22.852255569629349</v>
      </c>
      <c r="E35" s="2">
        <f t="shared" si="9"/>
        <v>24.591914235724413</v>
      </c>
      <c r="F35" s="2">
        <f t="shared" si="9"/>
        <v>26.402270206102003</v>
      </c>
      <c r="G35" s="2">
        <f t="shared" si="9"/>
        <v>28.37029256076212</v>
      </c>
      <c r="H35" s="2">
        <f t="shared" si="9"/>
        <v>30.322043139704775</v>
      </c>
      <c r="I35" s="2">
        <f t="shared" si="9"/>
        <v>32.344491022929951</v>
      </c>
      <c r="J35" s="2">
        <f t="shared" si="9"/>
        <v>34.437636210437653</v>
      </c>
      <c r="K35" s="2"/>
      <c r="L35" s="2"/>
    </row>
    <row r="36" spans="1:12" x14ac:dyDescent="0.2">
      <c r="C36" s="2"/>
      <c r="D36" s="2"/>
      <c r="E36" s="2"/>
      <c r="F36" s="2"/>
      <c r="G36" s="2"/>
      <c r="H36" s="2"/>
      <c r="I36" s="2"/>
      <c r="J36" s="2"/>
      <c r="K36" s="2"/>
      <c r="L36" s="2"/>
    </row>
    <row r="37" spans="1:12" x14ac:dyDescent="0.2">
      <c r="A37" s="1" t="s">
        <v>6</v>
      </c>
      <c r="C37" s="2">
        <f t="shared" ref="C37:J37" si="10">SUM(C34:C36)</f>
        <v>127.09976524690086</v>
      </c>
      <c r="D37" s="2">
        <f t="shared" si="10"/>
        <v>137.11353341777607</v>
      </c>
      <c r="E37" s="2">
        <f t="shared" si="10"/>
        <v>147.55148541434647</v>
      </c>
      <c r="F37" s="2">
        <f t="shared" si="10"/>
        <v>158.41362123661202</v>
      </c>
      <c r="G37" s="2">
        <f t="shared" si="10"/>
        <v>170.22175536457272</v>
      </c>
      <c r="H37" s="2">
        <f t="shared" si="10"/>
        <v>181.93225883822862</v>
      </c>
      <c r="I37" s="2">
        <f t="shared" si="10"/>
        <v>194.06694613757969</v>
      </c>
      <c r="J37" s="2">
        <f t="shared" si="10"/>
        <v>206.62581726262593</v>
      </c>
      <c r="K37" s="2"/>
      <c r="L37" s="2"/>
    </row>
    <row r="38" spans="1:12" x14ac:dyDescent="0.2">
      <c r="C38" s="2"/>
      <c r="D38" s="2"/>
      <c r="E38" s="2"/>
      <c r="F38" s="2"/>
      <c r="G38" s="2"/>
      <c r="H38" s="2"/>
      <c r="I38" s="2"/>
      <c r="J38" s="2"/>
      <c r="K38" s="2"/>
      <c r="L38" s="2"/>
    </row>
    <row r="39" spans="1:12" x14ac:dyDescent="0.2">
      <c r="A39" s="1" t="s">
        <v>57</v>
      </c>
      <c r="C39" s="2">
        <f>C37/90</f>
        <v>1.412219613854454</v>
      </c>
      <c r="D39" s="2">
        <f t="shared" ref="D39:J39" si="11">D37/90</f>
        <v>1.5234837046419563</v>
      </c>
      <c r="E39" s="2">
        <f t="shared" si="11"/>
        <v>1.6394609490482941</v>
      </c>
      <c r="F39" s="2">
        <f t="shared" si="11"/>
        <v>1.7601513470734669</v>
      </c>
      <c r="G39" s="2">
        <f t="shared" si="11"/>
        <v>1.8913528373841413</v>
      </c>
      <c r="H39" s="2">
        <f t="shared" si="11"/>
        <v>2.0214695426469849</v>
      </c>
      <c r="I39" s="2">
        <f t="shared" si="11"/>
        <v>2.1562994015286634</v>
      </c>
      <c r="J39" s="2">
        <f t="shared" si="11"/>
        <v>2.2958424140291771</v>
      </c>
      <c r="K39" s="2"/>
      <c r="L39" s="2"/>
    </row>
    <row r="40" spans="1:12" x14ac:dyDescent="0.2">
      <c r="C40" s="2"/>
      <c r="D40" s="2"/>
      <c r="E40" s="2"/>
      <c r="F40" s="2"/>
      <c r="G40" s="2"/>
      <c r="H40" s="2"/>
      <c r="I40" s="2"/>
      <c r="J40" s="2"/>
      <c r="K40" s="2"/>
      <c r="L40" s="2"/>
    </row>
    <row r="41" spans="1:12" x14ac:dyDescent="0.2">
      <c r="A41" s="1" t="s">
        <v>58</v>
      </c>
      <c r="C41" s="2">
        <f>0.07+0.11</f>
        <v>0.18</v>
      </c>
      <c r="D41" s="2">
        <f t="shared" ref="D41:J41" si="12">0.07+0.11</f>
        <v>0.18</v>
      </c>
      <c r="E41" s="2">
        <f t="shared" si="12"/>
        <v>0.18</v>
      </c>
      <c r="F41" s="2">
        <f t="shared" si="12"/>
        <v>0.18</v>
      </c>
      <c r="G41" s="2">
        <f t="shared" si="12"/>
        <v>0.18</v>
      </c>
      <c r="H41" s="2">
        <f t="shared" si="12"/>
        <v>0.18</v>
      </c>
      <c r="I41" s="2">
        <f t="shared" si="12"/>
        <v>0.18</v>
      </c>
      <c r="J41" s="2">
        <f t="shared" si="12"/>
        <v>0.18</v>
      </c>
      <c r="K41" s="2"/>
      <c r="L41" s="2"/>
    </row>
    <row r="42" spans="1:12" x14ac:dyDescent="0.2">
      <c r="C42" s="2"/>
      <c r="D42" s="2"/>
      <c r="E42" s="2"/>
      <c r="F42" s="2"/>
      <c r="G42" s="2"/>
      <c r="H42" s="2"/>
      <c r="I42" s="2"/>
      <c r="J42" s="2"/>
      <c r="K42" s="2"/>
      <c r="L42" s="2"/>
    </row>
    <row r="43" spans="1:12" x14ac:dyDescent="0.2">
      <c r="A43" s="1" t="s">
        <v>59</v>
      </c>
      <c r="C43" s="2">
        <f>SUM(C39:C42)</f>
        <v>1.592219613854454</v>
      </c>
      <c r="D43" s="2">
        <f t="shared" ref="D43:J43" si="13">SUM(D39:D42)</f>
        <v>1.7034837046419562</v>
      </c>
      <c r="E43" s="2">
        <f t="shared" si="13"/>
        <v>1.819460949048294</v>
      </c>
      <c r="F43" s="2">
        <f t="shared" si="13"/>
        <v>1.9401513470734668</v>
      </c>
      <c r="G43" s="2">
        <f t="shared" si="13"/>
        <v>2.0713528373841412</v>
      </c>
      <c r="H43" s="2">
        <f t="shared" si="13"/>
        <v>2.201469542646985</v>
      </c>
      <c r="I43" s="2">
        <f t="shared" si="13"/>
        <v>2.3362994015286636</v>
      </c>
      <c r="J43" s="2">
        <f t="shared" si="13"/>
        <v>2.4758424140291773</v>
      </c>
    </row>
    <row r="44" spans="1:12" s="6" customFormat="1" x14ac:dyDescent="0.2">
      <c r="C44" s="5"/>
      <c r="D44" s="5"/>
      <c r="E44" s="5"/>
      <c r="F44" s="5"/>
      <c r="G44" s="5"/>
      <c r="H44" s="5"/>
      <c r="I44" s="5"/>
      <c r="J44" s="5"/>
    </row>
    <row r="45" spans="1:12" x14ac:dyDescent="0.2">
      <c r="C45" s="2"/>
      <c r="D45" s="2"/>
      <c r="E45" s="2"/>
      <c r="F45" s="2"/>
      <c r="G45" s="2"/>
      <c r="H45" s="2"/>
      <c r="I45" s="2"/>
      <c r="J45" s="2"/>
    </row>
    <row r="46" spans="1:12" x14ac:dyDescent="0.2">
      <c r="C46" s="2"/>
      <c r="D46" s="2"/>
      <c r="E46" s="2"/>
      <c r="F46" s="2"/>
      <c r="G46" s="2"/>
      <c r="H46" s="2"/>
      <c r="I46" s="2"/>
      <c r="J46" s="2"/>
    </row>
    <row r="47" spans="1:12" x14ac:dyDescent="0.2">
      <c r="C47" s="2"/>
      <c r="D47" s="2"/>
      <c r="E47" s="2"/>
      <c r="F47" s="2"/>
      <c r="G47" s="2"/>
      <c r="H47" s="2"/>
      <c r="I47" s="2"/>
      <c r="J47" s="2"/>
    </row>
    <row r="48" spans="1:12" x14ac:dyDescent="0.2">
      <c r="C48" s="2"/>
      <c r="D48" s="2"/>
      <c r="E48" s="2"/>
      <c r="F48" s="2"/>
      <c r="G48" s="2"/>
      <c r="H48" s="2"/>
      <c r="I48" s="2"/>
      <c r="J48" s="2"/>
    </row>
    <row r="49" spans="3:10" x14ac:dyDescent="0.2">
      <c r="C49" s="2"/>
      <c r="D49" s="2"/>
      <c r="E49" s="2"/>
      <c r="F49" s="2"/>
      <c r="G49" s="2"/>
      <c r="H49" s="2"/>
      <c r="I49" s="2"/>
      <c r="J49" s="2"/>
    </row>
    <row r="50" spans="3:10" x14ac:dyDescent="0.2">
      <c r="C50" s="2"/>
      <c r="D50" s="2"/>
      <c r="E50" s="2"/>
      <c r="F50" s="2"/>
      <c r="G50" s="2"/>
      <c r="H50" s="2"/>
      <c r="I50" s="2"/>
      <c r="J50" s="2"/>
    </row>
    <row r="51" spans="3:10" x14ac:dyDescent="0.2">
      <c r="C51" s="2"/>
      <c r="D51" s="2"/>
      <c r="E51" s="2"/>
      <c r="F51" s="2"/>
      <c r="G51" s="2"/>
      <c r="H51" s="2"/>
      <c r="I51" s="2"/>
      <c r="J51" s="2"/>
    </row>
    <row r="52" spans="3:10" x14ac:dyDescent="0.2">
      <c r="C52" s="2"/>
      <c r="D52" s="2"/>
      <c r="E52" s="2"/>
      <c r="F52" s="2"/>
      <c r="G52" s="2"/>
      <c r="H52" s="2"/>
      <c r="I52" s="2"/>
      <c r="J52" s="2"/>
    </row>
    <row r="53" spans="3:10" x14ac:dyDescent="0.2">
      <c r="C53" s="2"/>
      <c r="D53" s="2"/>
      <c r="E53" s="2"/>
      <c r="F53" s="2"/>
      <c r="G53" s="2"/>
      <c r="H53" s="2"/>
      <c r="I53" s="2"/>
      <c r="J53" s="2"/>
    </row>
    <row r="54" spans="3:10" x14ac:dyDescent="0.2">
      <c r="C54" s="2"/>
      <c r="D54" s="2"/>
    </row>
    <row r="55" spans="3:10" x14ac:dyDescent="0.2">
      <c r="C55" s="2"/>
      <c r="D55" s="2"/>
    </row>
    <row r="56" spans="3:10" x14ac:dyDescent="0.2">
      <c r="C56" s="2"/>
      <c r="D56" s="2"/>
    </row>
    <row r="57" spans="3:10" x14ac:dyDescent="0.2">
      <c r="C57" s="2"/>
      <c r="D57" s="2"/>
    </row>
    <row r="58" spans="3:10" x14ac:dyDescent="0.2">
      <c r="C58" s="2"/>
      <c r="D58" s="2"/>
    </row>
    <row r="59" spans="3:10" x14ac:dyDescent="0.2">
      <c r="C59" s="2"/>
      <c r="D59" s="2"/>
    </row>
    <row r="60" spans="3:10" x14ac:dyDescent="0.2">
      <c r="C60" s="2"/>
      <c r="D60" s="2"/>
    </row>
    <row r="61" spans="3:10" x14ac:dyDescent="0.2">
      <c r="C61" s="2"/>
      <c r="D61" s="2"/>
    </row>
    <row r="62" spans="3:10" x14ac:dyDescent="0.2">
      <c r="C62" s="2"/>
      <c r="D62" s="2"/>
    </row>
    <row r="63" spans="3:10" x14ac:dyDescent="0.2">
      <c r="C63" s="10"/>
      <c r="D63" s="10"/>
    </row>
    <row r="64" spans="3:10" x14ac:dyDescent="0.2">
      <c r="C64" s="2"/>
      <c r="D64" s="2"/>
    </row>
    <row r="65" spans="3:4" x14ac:dyDescent="0.2">
      <c r="C65" s="10"/>
      <c r="D65" s="10"/>
    </row>
    <row r="66" spans="3:4" x14ac:dyDescent="0.2">
      <c r="C66" s="2"/>
      <c r="D66" s="2"/>
    </row>
    <row r="67" spans="3:4" x14ac:dyDescent="0.2">
      <c r="C67" s="10"/>
      <c r="D67" s="10"/>
    </row>
    <row r="68" spans="3:4" x14ac:dyDescent="0.2">
      <c r="C68" s="2"/>
      <c r="D68" s="2"/>
    </row>
    <row r="69" spans="3:4" x14ac:dyDescent="0.2">
      <c r="C69" s="2"/>
      <c r="D69" s="2"/>
    </row>
  </sheetData>
  <pageMargins left="0.39370078740157483" right="0.39370078740157483" top="0.39370078740157483" bottom="0.39370078740157483" header="0.39370078740157483" footer="0.39370078740157483"/>
  <pageSetup paperSize="9" scale="74"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D58F37-816F-4C0D-BDA2-9EE41A738E95}">
  <sheetPr>
    <pageSetUpPr fitToPage="1"/>
  </sheetPr>
  <dimension ref="A1:L69"/>
  <sheetViews>
    <sheetView topLeftCell="A19" zoomScaleNormal="100" workbookViewId="0">
      <selection activeCell="C19" sqref="C19"/>
    </sheetView>
  </sheetViews>
  <sheetFormatPr defaultColWidth="9.14453125" defaultRowHeight="15" x14ac:dyDescent="0.2"/>
  <cols>
    <col min="1" max="1" width="18.16015625" style="1" bestFit="1" customWidth="1"/>
    <col min="2" max="2" width="5.6484375" style="1" customWidth="1"/>
    <col min="3" max="10" width="17.21875" style="1" bestFit="1" customWidth="1"/>
    <col min="11" max="12" width="13.85546875" style="1" bestFit="1" customWidth="1"/>
    <col min="13" max="16384" width="9.14453125" style="1"/>
  </cols>
  <sheetData>
    <row r="1" spans="1:12" ht="30" customHeight="1" x14ac:dyDescent="0.2">
      <c r="A1" s="1" t="s">
        <v>28</v>
      </c>
      <c r="C1" s="9" t="s">
        <v>69</v>
      </c>
      <c r="D1" s="9" t="s">
        <v>69</v>
      </c>
      <c r="E1" s="9" t="s">
        <v>69</v>
      </c>
      <c r="F1" s="9" t="s">
        <v>69</v>
      </c>
      <c r="G1" s="9" t="s">
        <v>69</v>
      </c>
      <c r="H1" s="9" t="s">
        <v>69</v>
      </c>
      <c r="I1" s="9" t="s">
        <v>69</v>
      </c>
      <c r="J1" s="9" t="s">
        <v>69</v>
      </c>
      <c r="K1" s="9"/>
      <c r="L1" s="9"/>
    </row>
    <row r="2" spans="1:12" x14ac:dyDescent="0.2">
      <c r="A2" s="1" t="s">
        <v>0</v>
      </c>
      <c r="C2" s="1" t="s">
        <v>68</v>
      </c>
      <c r="D2" s="1" t="s">
        <v>68</v>
      </c>
      <c r="E2" s="1" t="s">
        <v>68</v>
      </c>
      <c r="F2" s="1" t="s">
        <v>68</v>
      </c>
      <c r="G2" s="1" t="s">
        <v>68</v>
      </c>
      <c r="H2" s="1" t="s">
        <v>68</v>
      </c>
      <c r="I2" s="1" t="s">
        <v>68</v>
      </c>
      <c r="J2" s="1" t="s">
        <v>68</v>
      </c>
    </row>
    <row r="3" spans="1:12" x14ac:dyDescent="0.2">
      <c r="A3" s="1" t="s">
        <v>1</v>
      </c>
      <c r="C3" s="1">
        <v>180</v>
      </c>
      <c r="D3" s="1">
        <v>180</v>
      </c>
      <c r="E3" s="1">
        <v>180</v>
      </c>
      <c r="F3" s="1">
        <v>180</v>
      </c>
      <c r="G3" s="1">
        <v>180</v>
      </c>
      <c r="H3" s="1">
        <v>180</v>
      </c>
      <c r="I3" s="1">
        <v>180</v>
      </c>
      <c r="J3" s="1">
        <v>180</v>
      </c>
    </row>
    <row r="4" spans="1:12" x14ac:dyDescent="0.2">
      <c r="C4" s="1" t="s">
        <v>23</v>
      </c>
      <c r="D4" s="1" t="s">
        <v>24</v>
      </c>
      <c r="E4" s="1" t="s">
        <v>25</v>
      </c>
      <c r="F4" s="1" t="s">
        <v>26</v>
      </c>
      <c r="G4" s="1" t="s">
        <v>26</v>
      </c>
      <c r="H4" s="1" t="s">
        <v>26</v>
      </c>
      <c r="I4" s="1" t="s">
        <v>26</v>
      </c>
      <c r="J4" s="1" t="s">
        <v>26</v>
      </c>
    </row>
    <row r="6" spans="1:12" x14ac:dyDescent="0.2">
      <c r="A6" s="1" t="s">
        <v>10</v>
      </c>
      <c r="C6" s="1">
        <v>18</v>
      </c>
      <c r="D6" s="1">
        <v>20</v>
      </c>
      <c r="E6" s="1">
        <v>22</v>
      </c>
      <c r="F6" s="1">
        <v>24</v>
      </c>
      <c r="G6" s="1">
        <v>26</v>
      </c>
      <c r="H6" s="1">
        <v>28</v>
      </c>
      <c r="I6" s="1">
        <v>30</v>
      </c>
      <c r="J6" s="1">
        <v>32</v>
      </c>
    </row>
    <row r="7" spans="1:12" x14ac:dyDescent="0.2">
      <c r="A7" s="1" t="s">
        <v>12</v>
      </c>
      <c r="C7" s="1">
        <v>28</v>
      </c>
      <c r="D7" s="1">
        <v>29</v>
      </c>
      <c r="E7" s="1">
        <v>30</v>
      </c>
      <c r="F7" s="1">
        <v>31</v>
      </c>
      <c r="G7" s="1">
        <v>32</v>
      </c>
      <c r="H7" s="1">
        <v>33</v>
      </c>
      <c r="I7" s="1">
        <v>34</v>
      </c>
      <c r="J7" s="1">
        <v>35</v>
      </c>
    </row>
    <row r="8" spans="1:12" x14ac:dyDescent="0.2">
      <c r="A8" s="1" t="s">
        <v>77</v>
      </c>
      <c r="C8" s="1">
        <v>7</v>
      </c>
      <c r="D8" s="1">
        <v>7.5</v>
      </c>
      <c r="E8" s="1">
        <v>8</v>
      </c>
      <c r="F8" s="1">
        <v>8.3000000000000007</v>
      </c>
      <c r="G8" s="1">
        <v>8.6999999999999993</v>
      </c>
      <c r="H8" s="1">
        <v>9.25</v>
      </c>
      <c r="I8" s="1">
        <v>9.5</v>
      </c>
      <c r="J8" s="1">
        <v>9.25</v>
      </c>
    </row>
    <row r="10" spans="1:12" x14ac:dyDescent="0.2">
      <c r="A10" s="1" t="s">
        <v>14</v>
      </c>
      <c r="C10" s="7">
        <f>(C6+1)*(C7+C8+3)*2*2.54*2.54/10000*C3</f>
        <v>167.68998720000002</v>
      </c>
      <c r="D10" s="7">
        <f t="shared" ref="D10:J10" si="0">(D6+1)*(D7+D8+3)*2*2.54*2.54/10000*D3</f>
        <v>192.65767919999999</v>
      </c>
      <c r="E10" s="7">
        <f t="shared" si="0"/>
        <v>219.01891680000003</v>
      </c>
      <c r="F10" s="7">
        <f t="shared" si="0"/>
        <v>245.61241200000001</v>
      </c>
      <c r="G10" s="7">
        <f t="shared" si="0"/>
        <v>274.04074224000004</v>
      </c>
      <c r="H10" s="7">
        <f t="shared" si="0"/>
        <v>304.78003560000002</v>
      </c>
      <c r="I10" s="7">
        <f t="shared" si="0"/>
        <v>334.79933040000003</v>
      </c>
      <c r="J10" s="7">
        <f t="shared" si="0"/>
        <v>362.14766279999998</v>
      </c>
      <c r="K10" s="7"/>
      <c r="L10" s="7"/>
    </row>
    <row r="11" spans="1:12" x14ac:dyDescent="0.2">
      <c r="A11" s="1" t="s">
        <v>21</v>
      </c>
      <c r="C11" s="7">
        <v>6</v>
      </c>
      <c r="D11" s="7">
        <v>6</v>
      </c>
      <c r="E11" s="7">
        <v>6</v>
      </c>
      <c r="F11" s="7">
        <v>6</v>
      </c>
      <c r="G11" s="7">
        <v>6</v>
      </c>
      <c r="H11" s="7">
        <v>6</v>
      </c>
      <c r="I11" s="7">
        <v>6</v>
      </c>
      <c r="J11" s="7">
        <v>6</v>
      </c>
      <c r="K11" s="7"/>
      <c r="L11" s="7"/>
    </row>
    <row r="12" spans="1:12" x14ac:dyDescent="0.2">
      <c r="A12" s="1" t="s">
        <v>13</v>
      </c>
      <c r="C12" s="7">
        <v>6</v>
      </c>
      <c r="D12" s="7">
        <v>6</v>
      </c>
      <c r="E12" s="7">
        <v>6</v>
      </c>
      <c r="F12" s="7">
        <v>6</v>
      </c>
      <c r="G12" s="7">
        <v>8</v>
      </c>
      <c r="H12" s="7">
        <v>8</v>
      </c>
      <c r="I12" s="7">
        <v>8</v>
      </c>
      <c r="J12" s="7">
        <v>8</v>
      </c>
      <c r="K12" s="7"/>
      <c r="L12" s="7"/>
    </row>
    <row r="14" spans="1:12" x14ac:dyDescent="0.2">
      <c r="A14" s="1" t="s">
        <v>15</v>
      </c>
      <c r="C14" s="7">
        <f t="shared" ref="C14:F14" si="1">SUM(C10:C13)</f>
        <v>179.68998720000002</v>
      </c>
      <c r="D14" s="7">
        <f t="shared" si="1"/>
        <v>204.65767919999999</v>
      </c>
      <c r="E14" s="7">
        <f t="shared" si="1"/>
        <v>231.01891680000003</v>
      </c>
      <c r="F14" s="7">
        <f t="shared" si="1"/>
        <v>257.61241200000001</v>
      </c>
      <c r="G14" s="7">
        <f t="shared" ref="G14:J14" si="2">SUM(G10:G13)</f>
        <v>288.04074224000004</v>
      </c>
      <c r="H14" s="7">
        <f t="shared" si="2"/>
        <v>318.78003560000002</v>
      </c>
      <c r="I14" s="7">
        <f t="shared" si="2"/>
        <v>348.79933040000003</v>
      </c>
      <c r="J14" s="7">
        <f t="shared" si="2"/>
        <v>376.14766279999998</v>
      </c>
      <c r="K14" s="7"/>
      <c r="L14" s="7"/>
    </row>
    <row r="16" spans="1:12" x14ac:dyDescent="0.2">
      <c r="A16" s="1" t="s">
        <v>16</v>
      </c>
      <c r="C16" s="7">
        <v>160</v>
      </c>
      <c r="D16" s="7">
        <v>160</v>
      </c>
      <c r="E16" s="7">
        <v>160</v>
      </c>
      <c r="F16" s="7">
        <v>160</v>
      </c>
      <c r="G16" s="7">
        <v>160</v>
      </c>
      <c r="H16" s="7">
        <v>160</v>
      </c>
      <c r="I16" s="7">
        <v>160</v>
      </c>
      <c r="J16" s="7">
        <v>160</v>
      </c>
      <c r="K16" s="7"/>
      <c r="L16" s="7"/>
    </row>
    <row r="17" spans="1:12" x14ac:dyDescent="0.2">
      <c r="A17" s="1" t="s">
        <v>7</v>
      </c>
      <c r="C17" s="7">
        <v>10</v>
      </c>
      <c r="D17" s="7">
        <v>10</v>
      </c>
      <c r="E17" s="7">
        <v>10</v>
      </c>
      <c r="F17" s="7">
        <v>10</v>
      </c>
      <c r="G17" s="7">
        <v>10</v>
      </c>
      <c r="H17" s="7">
        <v>10</v>
      </c>
      <c r="I17" s="7">
        <v>10</v>
      </c>
      <c r="J17" s="7">
        <v>10</v>
      </c>
      <c r="K17" s="7"/>
      <c r="L17" s="7"/>
    </row>
    <row r="18" spans="1:12" x14ac:dyDescent="0.2">
      <c r="A18" s="1" t="s">
        <v>55</v>
      </c>
      <c r="C18" s="7">
        <v>12</v>
      </c>
      <c r="D18" s="7">
        <v>12</v>
      </c>
      <c r="E18" s="7">
        <v>12</v>
      </c>
      <c r="F18" s="7">
        <v>12</v>
      </c>
      <c r="G18" s="7">
        <v>12</v>
      </c>
      <c r="H18" s="7">
        <v>12</v>
      </c>
      <c r="I18" s="7">
        <v>12</v>
      </c>
      <c r="J18" s="7">
        <v>12</v>
      </c>
      <c r="K18" s="7"/>
      <c r="L18" s="7"/>
    </row>
    <row r="19" spans="1:12" x14ac:dyDescent="0.2">
      <c r="A19" s="1" t="s">
        <v>38</v>
      </c>
      <c r="C19" s="7">
        <v>18</v>
      </c>
      <c r="D19" s="7">
        <v>18</v>
      </c>
      <c r="E19" s="7">
        <v>18</v>
      </c>
      <c r="F19" s="7">
        <v>18</v>
      </c>
      <c r="G19" s="7">
        <v>18</v>
      </c>
      <c r="H19" s="7">
        <v>18</v>
      </c>
      <c r="I19" s="7">
        <v>18</v>
      </c>
      <c r="J19" s="7">
        <v>18</v>
      </c>
      <c r="K19" s="7"/>
      <c r="L19" s="7"/>
    </row>
    <row r="20" spans="1:12" x14ac:dyDescent="0.2">
      <c r="A20" s="1" t="s">
        <v>8</v>
      </c>
      <c r="C20" s="7">
        <v>9</v>
      </c>
      <c r="D20" s="7">
        <v>9</v>
      </c>
      <c r="E20" s="7">
        <v>9</v>
      </c>
      <c r="F20" s="7">
        <v>9</v>
      </c>
      <c r="G20" s="7">
        <v>9</v>
      </c>
      <c r="H20" s="7">
        <v>9</v>
      </c>
      <c r="I20" s="7">
        <v>9</v>
      </c>
      <c r="J20" s="7">
        <v>9</v>
      </c>
      <c r="K20" s="7"/>
      <c r="L20" s="7"/>
    </row>
    <row r="21" spans="1:12" x14ac:dyDescent="0.2">
      <c r="C21" s="7"/>
      <c r="D21" s="7"/>
      <c r="E21" s="7"/>
      <c r="F21" s="7"/>
      <c r="G21" s="7"/>
      <c r="H21" s="7"/>
      <c r="I21" s="7"/>
      <c r="J21" s="7"/>
      <c r="K21" s="7"/>
      <c r="L21" s="7"/>
    </row>
    <row r="22" spans="1:12" x14ac:dyDescent="0.2">
      <c r="A22" s="1" t="s">
        <v>2</v>
      </c>
      <c r="C22" s="7">
        <f>SUM(C16:C20)</f>
        <v>209</v>
      </c>
      <c r="D22" s="7">
        <f t="shared" ref="D22:J22" si="3">SUM(D16:D20)</f>
        <v>209</v>
      </c>
      <c r="E22" s="7">
        <f t="shared" si="3"/>
        <v>209</v>
      </c>
      <c r="F22" s="7">
        <f t="shared" si="3"/>
        <v>209</v>
      </c>
      <c r="G22" s="7">
        <f t="shared" si="3"/>
        <v>209</v>
      </c>
      <c r="H22" s="7">
        <f t="shared" si="3"/>
        <v>209</v>
      </c>
      <c r="I22" s="7">
        <f t="shared" si="3"/>
        <v>209</v>
      </c>
      <c r="J22" s="7">
        <f t="shared" si="3"/>
        <v>209</v>
      </c>
      <c r="K22" s="7"/>
      <c r="L22" s="7"/>
    </row>
    <row r="23" spans="1:12" x14ac:dyDescent="0.2">
      <c r="A23" s="1" t="s">
        <v>32</v>
      </c>
      <c r="C23" s="7">
        <f>C22*3%</f>
        <v>6.27</v>
      </c>
      <c r="D23" s="7">
        <f t="shared" ref="D23:J23" si="4">D22*3%</f>
        <v>6.27</v>
      </c>
      <c r="E23" s="7">
        <f t="shared" si="4"/>
        <v>6.27</v>
      </c>
      <c r="F23" s="7">
        <f t="shared" si="4"/>
        <v>6.27</v>
      </c>
      <c r="G23" s="7">
        <f t="shared" si="4"/>
        <v>6.27</v>
      </c>
      <c r="H23" s="7">
        <f t="shared" si="4"/>
        <v>6.27</v>
      </c>
      <c r="I23" s="7">
        <f t="shared" si="4"/>
        <v>6.27</v>
      </c>
      <c r="J23" s="7">
        <f t="shared" si="4"/>
        <v>6.27</v>
      </c>
      <c r="K23" s="7"/>
      <c r="L23" s="7"/>
    </row>
    <row r="24" spans="1:12" x14ac:dyDescent="0.2">
      <c r="C24" s="7"/>
      <c r="D24" s="7"/>
      <c r="E24" s="7"/>
      <c r="F24" s="7"/>
      <c r="G24" s="7"/>
      <c r="H24" s="7"/>
      <c r="I24" s="7"/>
      <c r="J24" s="7"/>
      <c r="K24" s="7"/>
      <c r="L24" s="7"/>
    </row>
    <row r="25" spans="1:12" s="8" customFormat="1" x14ac:dyDescent="0.2">
      <c r="A25" s="8" t="s">
        <v>3</v>
      </c>
      <c r="C25" s="7">
        <f t="shared" ref="C25:J25" si="5">SUM(C22:C24)</f>
        <v>215.27</v>
      </c>
      <c r="D25" s="7">
        <f t="shared" si="5"/>
        <v>215.27</v>
      </c>
      <c r="E25" s="7">
        <f t="shared" si="5"/>
        <v>215.27</v>
      </c>
      <c r="F25" s="7">
        <f t="shared" si="5"/>
        <v>215.27</v>
      </c>
      <c r="G25" s="7">
        <f t="shared" si="5"/>
        <v>215.27</v>
      </c>
      <c r="H25" s="7">
        <f t="shared" si="5"/>
        <v>215.27</v>
      </c>
      <c r="I25" s="7">
        <f t="shared" si="5"/>
        <v>215.27</v>
      </c>
      <c r="J25" s="7">
        <f t="shared" si="5"/>
        <v>215.27</v>
      </c>
      <c r="K25" s="7"/>
      <c r="L25" s="7"/>
    </row>
    <row r="26" spans="1:12" x14ac:dyDescent="0.2">
      <c r="C26" s="7"/>
      <c r="D26" s="7"/>
      <c r="E26" s="7"/>
      <c r="F26" s="7"/>
      <c r="G26" s="7"/>
      <c r="H26" s="7"/>
      <c r="I26" s="7"/>
      <c r="J26" s="7"/>
      <c r="K26" s="7"/>
      <c r="L26" s="7"/>
    </row>
    <row r="27" spans="1:12" x14ac:dyDescent="0.2">
      <c r="A27" s="1" t="s">
        <v>4</v>
      </c>
      <c r="C27" s="2">
        <f>C25*C14/1000</f>
        <v>38.681863544544008</v>
      </c>
      <c r="D27" s="2">
        <f t="shared" ref="D27:J27" si="6">D25*D14/1000</f>
        <v>44.056658601384001</v>
      </c>
      <c r="E27" s="2">
        <f t="shared" si="6"/>
        <v>49.731442219536007</v>
      </c>
      <c r="F27" s="2">
        <f t="shared" si="6"/>
        <v>55.456223931240004</v>
      </c>
      <c r="G27" s="2">
        <f t="shared" si="6"/>
        <v>62.006530582004807</v>
      </c>
      <c r="H27" s="2">
        <f t="shared" si="6"/>
        <v>68.62377826361201</v>
      </c>
      <c r="I27" s="2">
        <f t="shared" si="6"/>
        <v>75.08603185520802</v>
      </c>
      <c r="J27" s="2">
        <f t="shared" si="6"/>
        <v>80.973307370955993</v>
      </c>
      <c r="K27" s="2"/>
      <c r="L27" s="2"/>
    </row>
    <row r="28" spans="1:12" x14ac:dyDescent="0.2">
      <c r="A28" s="1" t="s">
        <v>5</v>
      </c>
      <c r="C28" s="2">
        <v>15</v>
      </c>
      <c r="D28" s="2">
        <v>15</v>
      </c>
      <c r="E28" s="2">
        <v>15</v>
      </c>
      <c r="F28" s="2">
        <v>15</v>
      </c>
      <c r="G28" s="2">
        <v>15</v>
      </c>
      <c r="H28" s="2">
        <v>15</v>
      </c>
      <c r="I28" s="2">
        <v>15</v>
      </c>
      <c r="J28" s="2">
        <v>15</v>
      </c>
      <c r="K28" s="2"/>
      <c r="L28" s="2"/>
    </row>
    <row r="29" spans="1:12" x14ac:dyDescent="0.2">
      <c r="A29" s="1" t="s">
        <v>56</v>
      </c>
      <c r="C29" s="2">
        <v>10</v>
      </c>
      <c r="D29" s="2">
        <v>10</v>
      </c>
      <c r="E29" s="2">
        <v>10</v>
      </c>
      <c r="F29" s="2">
        <v>10</v>
      </c>
      <c r="G29" s="2">
        <v>10</v>
      </c>
      <c r="H29" s="2">
        <v>10</v>
      </c>
      <c r="I29" s="2">
        <v>10</v>
      </c>
      <c r="J29" s="2">
        <v>10</v>
      </c>
      <c r="K29" s="2"/>
      <c r="L29" s="2"/>
    </row>
    <row r="30" spans="1:12" x14ac:dyDescent="0.2">
      <c r="C30" s="2"/>
      <c r="D30" s="2"/>
      <c r="E30" s="2"/>
      <c r="F30" s="2"/>
      <c r="G30" s="2"/>
      <c r="H30" s="2"/>
      <c r="I30" s="2"/>
      <c r="J30" s="2"/>
      <c r="K30" s="2"/>
      <c r="L30" s="2"/>
    </row>
    <row r="31" spans="1:12" x14ac:dyDescent="0.2">
      <c r="A31" s="1" t="s">
        <v>2</v>
      </c>
      <c r="C31" s="2">
        <f>SUM(C27:C30)</f>
        <v>63.681863544544008</v>
      </c>
      <c r="D31" s="2">
        <f t="shared" ref="D31:J31" si="7">SUM(D27:D30)</f>
        <v>69.056658601384001</v>
      </c>
      <c r="E31" s="2">
        <f t="shared" si="7"/>
        <v>74.731442219536007</v>
      </c>
      <c r="F31" s="2">
        <f t="shared" si="7"/>
        <v>80.456223931240004</v>
      </c>
      <c r="G31" s="2">
        <f t="shared" si="7"/>
        <v>87.006530582004814</v>
      </c>
      <c r="H31" s="2">
        <f t="shared" si="7"/>
        <v>93.62377826361201</v>
      </c>
      <c r="I31" s="2">
        <f t="shared" si="7"/>
        <v>100.08603185520802</v>
      </c>
      <c r="J31" s="2">
        <f t="shared" si="7"/>
        <v>105.97330737095599</v>
      </c>
      <c r="K31" s="2"/>
      <c r="L31" s="2"/>
    </row>
    <row r="32" spans="1:12" x14ac:dyDescent="0.2">
      <c r="A32" s="1" t="s">
        <v>19</v>
      </c>
      <c r="C32" s="2">
        <f t="shared" ref="C32:J32" si="8">C31*1%</f>
        <v>0.63681863544544004</v>
      </c>
      <c r="D32" s="2">
        <f t="shared" si="8"/>
        <v>0.69056658601384002</v>
      </c>
      <c r="E32" s="2">
        <f t="shared" si="8"/>
        <v>0.74731442219536004</v>
      </c>
      <c r="F32" s="2">
        <f t="shared" si="8"/>
        <v>0.80456223931240001</v>
      </c>
      <c r="G32" s="2">
        <f t="shared" si="8"/>
        <v>0.87006530582004815</v>
      </c>
      <c r="H32" s="2">
        <f t="shared" si="8"/>
        <v>0.93623778263612012</v>
      </c>
      <c r="I32" s="2">
        <f t="shared" si="8"/>
        <v>1.0008603185520801</v>
      </c>
      <c r="J32" s="2">
        <f t="shared" si="8"/>
        <v>1.05973307370956</v>
      </c>
      <c r="K32" s="2"/>
      <c r="L32" s="2"/>
    </row>
    <row r="33" spans="1:12" x14ac:dyDescent="0.2">
      <c r="C33" s="2"/>
      <c r="D33" s="2"/>
      <c r="E33" s="2"/>
      <c r="F33" s="2"/>
      <c r="G33" s="2"/>
      <c r="H33" s="2"/>
      <c r="I33" s="2"/>
      <c r="J33" s="2"/>
      <c r="K33" s="2"/>
      <c r="L33" s="2"/>
    </row>
    <row r="34" spans="1:12" x14ac:dyDescent="0.2">
      <c r="A34" s="1" t="s">
        <v>2</v>
      </c>
      <c r="C34" s="2">
        <f t="shared" ref="C34:J34" si="9">SUM(C31:C33)</f>
        <v>64.318682179989452</v>
      </c>
      <c r="D34" s="2">
        <f t="shared" si="9"/>
        <v>69.747225187397845</v>
      </c>
      <c r="E34" s="2">
        <f t="shared" si="9"/>
        <v>75.478756641731366</v>
      </c>
      <c r="F34" s="2">
        <f t="shared" si="9"/>
        <v>81.260786170552407</v>
      </c>
      <c r="G34" s="2">
        <f t="shared" si="9"/>
        <v>87.876595887824863</v>
      </c>
      <c r="H34" s="2">
        <f t="shared" si="9"/>
        <v>94.560016046248137</v>
      </c>
      <c r="I34" s="2">
        <f t="shared" si="9"/>
        <v>101.08689217376011</v>
      </c>
      <c r="J34" s="2">
        <f t="shared" si="9"/>
        <v>107.03304044466556</v>
      </c>
      <c r="K34" s="2"/>
      <c r="L34" s="2"/>
    </row>
    <row r="35" spans="1:12" x14ac:dyDescent="0.2">
      <c r="A35" s="1" t="s">
        <v>42</v>
      </c>
      <c r="C35" s="2">
        <f>C34*20%</f>
        <v>12.863736435997891</v>
      </c>
      <c r="D35" s="2">
        <f t="shared" ref="D35:J35" si="10">D34*20%</f>
        <v>13.94944503747957</v>
      </c>
      <c r="E35" s="2">
        <f t="shared" si="10"/>
        <v>15.095751328346275</v>
      </c>
      <c r="F35" s="2">
        <f t="shared" si="10"/>
        <v>16.252157234110481</v>
      </c>
      <c r="G35" s="2">
        <f t="shared" si="10"/>
        <v>17.575319177564975</v>
      </c>
      <c r="H35" s="2">
        <f t="shared" si="10"/>
        <v>18.91200320924963</v>
      </c>
      <c r="I35" s="2">
        <f t="shared" si="10"/>
        <v>20.217378434752021</v>
      </c>
      <c r="J35" s="2">
        <f t="shared" si="10"/>
        <v>21.406608088933112</v>
      </c>
      <c r="K35" s="2"/>
      <c r="L35" s="2"/>
    </row>
    <row r="36" spans="1:12" x14ac:dyDescent="0.2">
      <c r="C36" s="2"/>
      <c r="D36" s="2"/>
      <c r="E36" s="2"/>
      <c r="F36" s="2"/>
      <c r="G36" s="2"/>
      <c r="H36" s="2"/>
      <c r="I36" s="2"/>
      <c r="J36" s="2"/>
      <c r="K36" s="2"/>
      <c r="L36" s="2"/>
    </row>
    <row r="37" spans="1:12" x14ac:dyDescent="0.2">
      <c r="A37" s="1" t="s">
        <v>6</v>
      </c>
      <c r="C37" s="2">
        <f t="shared" ref="C37:J37" si="11">SUM(C34:C36)</f>
        <v>77.182418615987345</v>
      </c>
      <c r="D37" s="2">
        <f t="shared" si="11"/>
        <v>83.696670224877408</v>
      </c>
      <c r="E37" s="2">
        <f t="shared" si="11"/>
        <v>90.574507970077633</v>
      </c>
      <c r="F37" s="2">
        <f t="shared" si="11"/>
        <v>97.512943404662892</v>
      </c>
      <c r="G37" s="2">
        <f t="shared" si="11"/>
        <v>105.45191506538984</v>
      </c>
      <c r="H37" s="2">
        <f t="shared" si="11"/>
        <v>113.47201925549777</v>
      </c>
      <c r="I37" s="2">
        <f t="shared" si="11"/>
        <v>121.30427060851213</v>
      </c>
      <c r="J37" s="2">
        <f t="shared" si="11"/>
        <v>128.43964853359867</v>
      </c>
      <c r="K37" s="2"/>
      <c r="L37" s="2"/>
    </row>
    <row r="38" spans="1:12" x14ac:dyDescent="0.2">
      <c r="C38" s="2"/>
      <c r="D38" s="2"/>
      <c r="E38" s="2"/>
      <c r="F38" s="2"/>
      <c r="G38" s="2"/>
      <c r="H38" s="2"/>
      <c r="I38" s="2"/>
      <c r="J38" s="2"/>
      <c r="K38" s="2"/>
      <c r="L38" s="2"/>
    </row>
    <row r="39" spans="1:12" x14ac:dyDescent="0.2">
      <c r="A39" s="1" t="s">
        <v>57</v>
      </c>
      <c r="C39" s="2">
        <f>C37/90</f>
        <v>0.85758242906652604</v>
      </c>
      <c r="D39" s="2">
        <f t="shared" ref="D39:J39" si="12">D37/90</f>
        <v>0.92996300249863784</v>
      </c>
      <c r="E39" s="2">
        <f t="shared" si="12"/>
        <v>1.0063834218897514</v>
      </c>
      <c r="F39" s="2">
        <f t="shared" si="12"/>
        <v>1.0834771489406987</v>
      </c>
      <c r="G39" s="2">
        <f t="shared" si="12"/>
        <v>1.1716879451709983</v>
      </c>
      <c r="H39" s="2">
        <f t="shared" si="12"/>
        <v>1.2608002139499752</v>
      </c>
      <c r="I39" s="2">
        <f t="shared" si="12"/>
        <v>1.347825228983468</v>
      </c>
      <c r="J39" s="2">
        <f t="shared" si="12"/>
        <v>1.4271072059288741</v>
      </c>
      <c r="K39" s="2"/>
      <c r="L39" s="2"/>
    </row>
    <row r="40" spans="1:12" x14ac:dyDescent="0.2">
      <c r="C40" s="2"/>
      <c r="D40" s="2"/>
      <c r="E40" s="2"/>
      <c r="F40" s="2"/>
      <c r="G40" s="2"/>
      <c r="H40" s="2"/>
      <c r="I40" s="2"/>
      <c r="J40" s="2"/>
      <c r="K40" s="2"/>
      <c r="L40" s="2"/>
    </row>
    <row r="41" spans="1:12" x14ac:dyDescent="0.2">
      <c r="A41" s="1" t="s">
        <v>58</v>
      </c>
      <c r="C41" s="2">
        <f>0.07+0.11</f>
        <v>0.18</v>
      </c>
      <c r="D41" s="2">
        <f t="shared" ref="D41:J41" si="13">0.07+0.11</f>
        <v>0.18</v>
      </c>
      <c r="E41" s="2">
        <f t="shared" si="13"/>
        <v>0.18</v>
      </c>
      <c r="F41" s="2">
        <f t="shared" si="13"/>
        <v>0.18</v>
      </c>
      <c r="G41" s="2">
        <f t="shared" si="13"/>
        <v>0.18</v>
      </c>
      <c r="H41" s="2">
        <f t="shared" si="13"/>
        <v>0.18</v>
      </c>
      <c r="I41" s="2">
        <f t="shared" si="13"/>
        <v>0.18</v>
      </c>
      <c r="J41" s="2">
        <f t="shared" si="13"/>
        <v>0.18</v>
      </c>
      <c r="K41" s="2"/>
      <c r="L41" s="2"/>
    </row>
    <row r="42" spans="1:12" x14ac:dyDescent="0.2">
      <c r="C42" s="2"/>
      <c r="D42" s="2"/>
      <c r="E42" s="2"/>
      <c r="F42" s="2"/>
      <c r="G42" s="2"/>
      <c r="H42" s="2"/>
      <c r="I42" s="2"/>
      <c r="J42" s="2"/>
      <c r="K42" s="2"/>
      <c r="L42" s="2"/>
    </row>
    <row r="43" spans="1:12" x14ac:dyDescent="0.2">
      <c r="A43" s="1" t="s">
        <v>59</v>
      </c>
      <c r="C43" s="2">
        <f>SUM(C39:C42)</f>
        <v>1.0375824290665261</v>
      </c>
      <c r="D43" s="2">
        <f t="shared" ref="D43:J43" si="14">SUM(D39:D42)</f>
        <v>1.1099630024986378</v>
      </c>
      <c r="E43" s="2">
        <f t="shared" si="14"/>
        <v>1.1863834218897513</v>
      </c>
      <c r="F43" s="2">
        <f t="shared" si="14"/>
        <v>1.2634771489406986</v>
      </c>
      <c r="G43" s="2">
        <f t="shared" si="14"/>
        <v>1.3516879451709982</v>
      </c>
      <c r="H43" s="2">
        <f t="shared" si="14"/>
        <v>1.4408002139499752</v>
      </c>
      <c r="I43" s="2">
        <f t="shared" si="14"/>
        <v>1.527825228983468</v>
      </c>
      <c r="J43" s="2">
        <f t="shared" si="14"/>
        <v>1.607107205928874</v>
      </c>
    </row>
    <row r="44" spans="1:12" s="6" customFormat="1" x14ac:dyDescent="0.2">
      <c r="C44" s="5"/>
      <c r="D44" s="5"/>
      <c r="E44" s="5"/>
      <c r="F44" s="5"/>
      <c r="G44" s="5"/>
      <c r="H44" s="5"/>
      <c r="I44" s="5"/>
      <c r="J44" s="5"/>
    </row>
    <row r="45" spans="1:12" x14ac:dyDescent="0.2">
      <c r="C45" s="2"/>
      <c r="D45" s="2"/>
      <c r="E45" s="2"/>
      <c r="F45" s="2"/>
      <c r="G45" s="2"/>
      <c r="H45" s="2"/>
      <c r="I45" s="2"/>
      <c r="J45" s="2"/>
    </row>
    <row r="46" spans="1:12" x14ac:dyDescent="0.2">
      <c r="C46" s="2"/>
      <c r="D46" s="2"/>
      <c r="E46" s="2"/>
      <c r="F46" s="2"/>
      <c r="G46" s="2"/>
      <c r="H46" s="2"/>
      <c r="I46" s="2"/>
      <c r="J46" s="2"/>
    </row>
    <row r="47" spans="1:12" x14ac:dyDescent="0.2">
      <c r="C47" s="2"/>
      <c r="D47" s="2"/>
      <c r="E47" s="2"/>
      <c r="F47" s="2"/>
      <c r="G47" s="2"/>
      <c r="H47" s="2"/>
      <c r="I47" s="2"/>
      <c r="J47" s="2"/>
    </row>
    <row r="48" spans="1:12" x14ac:dyDescent="0.2">
      <c r="C48" s="2"/>
      <c r="D48" s="2"/>
      <c r="E48" s="2"/>
      <c r="F48" s="2"/>
      <c r="G48" s="2"/>
      <c r="H48" s="2"/>
      <c r="I48" s="2"/>
      <c r="J48" s="2"/>
    </row>
    <row r="49" spans="3:10" x14ac:dyDescent="0.2">
      <c r="C49" s="2"/>
      <c r="D49" s="2"/>
      <c r="E49" s="2"/>
      <c r="F49" s="2"/>
      <c r="G49" s="2"/>
      <c r="H49" s="2"/>
      <c r="I49" s="2"/>
      <c r="J49" s="2"/>
    </row>
    <row r="50" spans="3:10" x14ac:dyDescent="0.2">
      <c r="C50" s="2"/>
      <c r="D50" s="2"/>
      <c r="E50" s="2"/>
      <c r="F50" s="2"/>
      <c r="G50" s="2"/>
      <c r="H50" s="2"/>
      <c r="I50" s="2"/>
      <c r="J50" s="2"/>
    </row>
    <row r="51" spans="3:10" x14ac:dyDescent="0.2">
      <c r="C51" s="2"/>
      <c r="D51" s="2"/>
      <c r="E51" s="2"/>
      <c r="F51" s="2"/>
      <c r="G51" s="2"/>
      <c r="H51" s="2"/>
      <c r="I51" s="2"/>
      <c r="J51" s="2"/>
    </row>
    <row r="52" spans="3:10" x14ac:dyDescent="0.2">
      <c r="C52" s="2"/>
      <c r="D52" s="2"/>
      <c r="E52" s="2"/>
      <c r="F52" s="2"/>
      <c r="G52" s="2"/>
      <c r="H52" s="2"/>
      <c r="I52" s="2"/>
      <c r="J52" s="2"/>
    </row>
    <row r="53" spans="3:10" x14ac:dyDescent="0.2">
      <c r="C53" s="2"/>
      <c r="D53" s="2"/>
      <c r="E53" s="2"/>
      <c r="F53" s="2"/>
      <c r="G53" s="2"/>
      <c r="H53" s="2"/>
      <c r="I53" s="2"/>
      <c r="J53" s="2"/>
    </row>
    <row r="54" spans="3:10" x14ac:dyDescent="0.2">
      <c r="C54" s="2"/>
      <c r="D54" s="2"/>
    </row>
    <row r="55" spans="3:10" x14ac:dyDescent="0.2">
      <c r="C55" s="2"/>
      <c r="D55" s="2"/>
    </row>
    <row r="56" spans="3:10" x14ac:dyDescent="0.2">
      <c r="C56" s="2"/>
      <c r="D56" s="2"/>
    </row>
    <row r="57" spans="3:10" x14ac:dyDescent="0.2">
      <c r="C57" s="2"/>
      <c r="D57" s="2"/>
    </row>
    <row r="58" spans="3:10" x14ac:dyDescent="0.2">
      <c r="C58" s="2"/>
      <c r="D58" s="2"/>
    </row>
    <row r="59" spans="3:10" x14ac:dyDescent="0.2">
      <c r="C59" s="2"/>
      <c r="D59" s="2"/>
    </row>
    <row r="60" spans="3:10" x14ac:dyDescent="0.2">
      <c r="C60" s="2"/>
      <c r="D60" s="2"/>
    </row>
    <row r="61" spans="3:10" x14ac:dyDescent="0.2">
      <c r="C61" s="2"/>
      <c r="D61" s="2"/>
    </row>
    <row r="62" spans="3:10" x14ac:dyDescent="0.2">
      <c r="C62" s="2"/>
      <c r="D62" s="2"/>
    </row>
    <row r="63" spans="3:10" x14ac:dyDescent="0.2">
      <c r="C63" s="10"/>
      <c r="D63" s="10"/>
    </row>
    <row r="64" spans="3:10" x14ac:dyDescent="0.2">
      <c r="C64" s="2"/>
      <c r="D64" s="2"/>
    </row>
    <row r="65" spans="3:4" x14ac:dyDescent="0.2">
      <c r="C65" s="10"/>
      <c r="D65" s="10"/>
    </row>
    <row r="66" spans="3:4" x14ac:dyDescent="0.2">
      <c r="C66" s="2"/>
      <c r="D66" s="2"/>
    </row>
    <row r="67" spans="3:4" x14ac:dyDescent="0.2">
      <c r="C67" s="10"/>
      <c r="D67" s="10"/>
    </row>
    <row r="68" spans="3:4" x14ac:dyDescent="0.2">
      <c r="C68" s="2"/>
      <c r="D68" s="2"/>
    </row>
    <row r="69" spans="3:4" x14ac:dyDescent="0.2">
      <c r="C69" s="2"/>
      <c r="D69" s="2"/>
    </row>
  </sheetData>
  <pageMargins left="0.39370078740157483" right="0.39370078740157483" top="0.39370078740157483" bottom="0.39370078740157483" header="0.39370078740157483" footer="0.39370078740157483"/>
  <pageSetup paperSize="9" scale="74"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96B031-14EE-45C3-8484-57F989CC139A}">
  <sheetPr>
    <pageSetUpPr fitToPage="1"/>
  </sheetPr>
  <dimension ref="A1:L77"/>
  <sheetViews>
    <sheetView topLeftCell="A10" zoomScaleNormal="100" workbookViewId="0">
      <selection activeCell="C28" sqref="C28"/>
    </sheetView>
  </sheetViews>
  <sheetFormatPr defaultColWidth="9.14453125" defaultRowHeight="15" x14ac:dyDescent="0.2"/>
  <cols>
    <col min="1" max="1" width="18.16015625" style="1" bestFit="1" customWidth="1"/>
    <col min="2" max="2" width="5.6484375" style="1" customWidth="1"/>
    <col min="3" max="10" width="17.21875" style="1" bestFit="1" customWidth="1"/>
    <col min="11" max="12" width="13.85546875" style="1" bestFit="1" customWidth="1"/>
    <col min="13" max="16384" width="9.14453125" style="1"/>
  </cols>
  <sheetData>
    <row r="1" spans="1:12" ht="30" customHeight="1" x14ac:dyDescent="0.2">
      <c r="A1" s="1" t="s">
        <v>28</v>
      </c>
      <c r="C1" s="9" t="s">
        <v>30</v>
      </c>
      <c r="D1" s="9" t="s">
        <v>30</v>
      </c>
      <c r="E1" s="9" t="s">
        <v>30</v>
      </c>
      <c r="F1" s="9" t="s">
        <v>30</v>
      </c>
      <c r="G1" s="9"/>
      <c r="H1" s="9"/>
      <c r="I1" s="9"/>
      <c r="J1" s="9"/>
      <c r="K1" s="9"/>
      <c r="L1" s="9"/>
    </row>
    <row r="2" spans="1:12" x14ac:dyDescent="0.2">
      <c r="A2" s="1" t="s">
        <v>0</v>
      </c>
      <c r="C2" s="1" t="s">
        <v>54</v>
      </c>
      <c r="D2" s="1" t="s">
        <v>54</v>
      </c>
      <c r="E2" s="1" t="s">
        <v>54</v>
      </c>
      <c r="F2" s="1" t="s">
        <v>54</v>
      </c>
    </row>
    <row r="3" spans="1:12" x14ac:dyDescent="0.2">
      <c r="A3" s="1" t="s">
        <v>1</v>
      </c>
      <c r="C3" s="1">
        <v>160</v>
      </c>
      <c r="D3" s="1">
        <v>160</v>
      </c>
      <c r="E3" s="1">
        <v>160</v>
      </c>
      <c r="F3" s="1">
        <v>160</v>
      </c>
    </row>
    <row r="4" spans="1:12" x14ac:dyDescent="0.2">
      <c r="C4" s="1" t="s">
        <v>23</v>
      </c>
      <c r="D4" s="1" t="s">
        <v>24</v>
      </c>
      <c r="E4" s="1" t="s">
        <v>25</v>
      </c>
      <c r="F4" s="1" t="s">
        <v>26</v>
      </c>
    </row>
    <row r="6" spans="1:12" x14ac:dyDescent="0.2">
      <c r="A6" s="1" t="s">
        <v>10</v>
      </c>
      <c r="C6" s="1">
        <v>18</v>
      </c>
      <c r="D6" s="1">
        <v>20</v>
      </c>
      <c r="E6" s="1">
        <v>22</v>
      </c>
      <c r="F6" s="1">
        <v>24</v>
      </c>
    </row>
    <row r="7" spans="1:12" x14ac:dyDescent="0.2">
      <c r="A7" s="1" t="s">
        <v>12</v>
      </c>
      <c r="C7" s="1">
        <v>28</v>
      </c>
      <c r="D7" s="1">
        <v>29</v>
      </c>
      <c r="E7" s="1">
        <v>30</v>
      </c>
      <c r="F7" s="1">
        <v>31</v>
      </c>
    </row>
    <row r="8" spans="1:12" x14ac:dyDescent="0.2">
      <c r="A8" s="1" t="s">
        <v>11</v>
      </c>
      <c r="C8" s="1">
        <v>7.5</v>
      </c>
      <c r="D8" s="1">
        <v>8</v>
      </c>
      <c r="E8" s="1">
        <v>8.5</v>
      </c>
      <c r="F8" s="1">
        <v>9</v>
      </c>
    </row>
    <row r="10" spans="1:12" x14ac:dyDescent="0.2">
      <c r="A10" s="1" t="s">
        <v>14</v>
      </c>
      <c r="C10" s="7">
        <f>(C6)*(C7+C8+1)*2*2.54*2.54/10000*C3</f>
        <v>135.63843840000001</v>
      </c>
      <c r="D10" s="7">
        <f t="shared" ref="D10:F10" si="0">(D6)*(D7+D8+1)*2*2.54*2.54/10000*D3</f>
        <v>156.90291200000001</v>
      </c>
      <c r="E10" s="7">
        <f t="shared" si="0"/>
        <v>179.40609280000001</v>
      </c>
      <c r="F10" s="7">
        <f t="shared" si="0"/>
        <v>203.14798080000003</v>
      </c>
      <c r="G10" s="7"/>
      <c r="H10" s="7"/>
      <c r="I10" s="7"/>
      <c r="J10" s="7"/>
      <c r="K10" s="7"/>
      <c r="L10" s="7"/>
    </row>
    <row r="11" spans="1:12" x14ac:dyDescent="0.2">
      <c r="A11" s="1" t="s">
        <v>21</v>
      </c>
      <c r="C11" s="7">
        <v>6</v>
      </c>
      <c r="D11" s="7">
        <v>6</v>
      </c>
      <c r="E11" s="7">
        <v>6</v>
      </c>
      <c r="F11" s="7">
        <v>6</v>
      </c>
      <c r="G11" s="7"/>
      <c r="H11" s="7"/>
      <c r="I11" s="7"/>
      <c r="J11" s="7"/>
      <c r="K11" s="7"/>
      <c r="L11" s="7"/>
    </row>
    <row r="12" spans="1:12" x14ac:dyDescent="0.2">
      <c r="A12" s="1" t="s">
        <v>13</v>
      </c>
      <c r="C12" s="7">
        <v>6</v>
      </c>
      <c r="D12" s="7">
        <v>6</v>
      </c>
      <c r="E12" s="7">
        <v>6</v>
      </c>
      <c r="F12" s="7">
        <v>6</v>
      </c>
      <c r="G12" s="7"/>
      <c r="H12" s="7"/>
      <c r="I12" s="7"/>
      <c r="J12" s="7"/>
      <c r="K12" s="7"/>
      <c r="L12" s="7"/>
    </row>
    <row r="14" spans="1:12" x14ac:dyDescent="0.2">
      <c r="A14" s="1" t="s">
        <v>15</v>
      </c>
      <c r="C14" s="7">
        <f t="shared" ref="C14:F14" si="1">SUM(C10:C13)</f>
        <v>147.63843840000001</v>
      </c>
      <c r="D14" s="7">
        <f t="shared" si="1"/>
        <v>168.90291200000001</v>
      </c>
      <c r="E14" s="7">
        <f t="shared" si="1"/>
        <v>191.40609280000001</v>
      </c>
      <c r="F14" s="7">
        <f t="shared" si="1"/>
        <v>215.14798080000003</v>
      </c>
      <c r="G14" s="7">
        <f>G16/G15</f>
        <v>179.90332010666668</v>
      </c>
      <c r="H14" s="7"/>
      <c r="I14" s="7"/>
      <c r="J14" s="7"/>
      <c r="K14" s="7"/>
      <c r="L14" s="7"/>
    </row>
    <row r="15" spans="1:12" x14ac:dyDescent="0.2">
      <c r="A15" s="1" t="s">
        <v>46</v>
      </c>
      <c r="C15" s="7">
        <f>720+720+720</f>
        <v>2160</v>
      </c>
      <c r="D15" s="7">
        <f>2520+1440+1440+1440</f>
        <v>6840</v>
      </c>
      <c r="E15" s="7">
        <f>3960+2880+2880+2880</f>
        <v>12600</v>
      </c>
      <c r="F15" s="7"/>
      <c r="G15" s="7">
        <f>SUM(C15:F15)</f>
        <v>21600</v>
      </c>
      <c r="H15" s="7"/>
      <c r="I15" s="7"/>
      <c r="J15" s="7"/>
      <c r="K15" s="7"/>
      <c r="L15" s="7"/>
    </row>
    <row r="16" spans="1:12" x14ac:dyDescent="0.2">
      <c r="C16" s="7">
        <f>C14*C15</f>
        <v>318899.02694400004</v>
      </c>
      <c r="D16" s="7">
        <f t="shared" ref="D16:E16" si="2">D14*D15</f>
        <v>1155295.9180800002</v>
      </c>
      <c r="E16" s="7">
        <f t="shared" si="2"/>
        <v>2411716.7692800001</v>
      </c>
      <c r="F16" s="7"/>
      <c r="G16" s="7">
        <f>SUM(C16:F16)</f>
        <v>3885911.7143040001</v>
      </c>
      <c r="H16" s="7"/>
      <c r="I16" s="7"/>
      <c r="J16" s="7"/>
      <c r="K16" s="7"/>
      <c r="L16" s="7"/>
    </row>
    <row r="17" spans="1:12" x14ac:dyDescent="0.2">
      <c r="C17" s="7"/>
      <c r="D17" s="7"/>
      <c r="E17" s="7"/>
      <c r="F17" s="7"/>
      <c r="G17" s="7"/>
      <c r="H17" s="7"/>
      <c r="I17" s="7"/>
      <c r="J17" s="7"/>
      <c r="K17" s="7"/>
      <c r="L17" s="7"/>
    </row>
    <row r="18" spans="1:12" x14ac:dyDescent="0.2">
      <c r="A18" s="1" t="s">
        <v>47</v>
      </c>
      <c r="C18" s="7">
        <f>G16/G15</f>
        <v>179.90332010666668</v>
      </c>
      <c r="D18" s="7"/>
      <c r="E18" s="7"/>
      <c r="F18" s="7"/>
      <c r="G18" s="7"/>
      <c r="H18" s="7"/>
      <c r="I18" s="7"/>
      <c r="J18" s="7"/>
      <c r="K18" s="7"/>
      <c r="L18" s="7"/>
    </row>
    <row r="20" spans="1:12" x14ac:dyDescent="0.2">
      <c r="A20" s="1" t="s">
        <v>16</v>
      </c>
      <c r="C20" s="7">
        <v>180</v>
      </c>
      <c r="D20" s="7"/>
      <c r="E20" s="7"/>
      <c r="F20" s="7"/>
      <c r="G20" s="7"/>
      <c r="H20" s="7"/>
      <c r="I20" s="7"/>
      <c r="J20" s="7"/>
      <c r="K20" s="7"/>
      <c r="L20" s="7"/>
    </row>
    <row r="21" spans="1:12" x14ac:dyDescent="0.2">
      <c r="A21" s="1" t="s">
        <v>7</v>
      </c>
      <c r="C21" s="7">
        <v>10</v>
      </c>
      <c r="D21" s="7"/>
      <c r="E21" s="7"/>
      <c r="F21" s="7"/>
      <c r="G21" s="7"/>
      <c r="H21" s="7"/>
      <c r="I21" s="7"/>
      <c r="J21" s="7"/>
      <c r="K21" s="7"/>
      <c r="L21" s="7"/>
    </row>
    <row r="22" spans="1:12" x14ac:dyDescent="0.2">
      <c r="A22" s="1" t="s">
        <v>55</v>
      </c>
      <c r="C22" s="7">
        <v>16</v>
      </c>
      <c r="D22" s="7"/>
      <c r="E22" s="7"/>
      <c r="F22" s="7"/>
      <c r="G22" s="7"/>
      <c r="H22" s="7"/>
      <c r="I22" s="7"/>
      <c r="J22" s="7"/>
      <c r="K22" s="7"/>
      <c r="L22" s="7"/>
    </row>
    <row r="23" spans="1:12" x14ac:dyDescent="0.2">
      <c r="A23" s="1" t="s">
        <v>31</v>
      </c>
      <c r="C23" s="7">
        <v>12</v>
      </c>
      <c r="D23" s="7"/>
      <c r="E23" s="7"/>
      <c r="F23" s="7"/>
      <c r="G23" s="7"/>
      <c r="H23" s="7"/>
      <c r="I23" s="7"/>
      <c r="J23" s="7"/>
      <c r="K23" s="7"/>
      <c r="L23" s="7"/>
    </row>
    <row r="24" spans="1:12" x14ac:dyDescent="0.2">
      <c r="A24" s="1" t="s">
        <v>8</v>
      </c>
      <c r="C24" s="7">
        <v>6</v>
      </c>
      <c r="D24" s="7"/>
      <c r="E24" s="7"/>
      <c r="F24" s="7"/>
      <c r="G24" s="7"/>
      <c r="H24" s="7"/>
      <c r="I24" s="7"/>
      <c r="J24" s="7"/>
      <c r="K24" s="7"/>
      <c r="L24" s="7"/>
    </row>
    <row r="25" spans="1:12" x14ac:dyDescent="0.2">
      <c r="C25" s="7"/>
      <c r="D25" s="7"/>
      <c r="E25" s="7"/>
      <c r="F25" s="7"/>
      <c r="G25" s="7"/>
      <c r="H25" s="7"/>
      <c r="I25" s="7"/>
      <c r="J25" s="7"/>
      <c r="K25" s="7"/>
      <c r="L25" s="7"/>
    </row>
    <row r="26" spans="1:12" x14ac:dyDescent="0.2">
      <c r="A26" s="1" t="s">
        <v>2</v>
      </c>
      <c r="C26" s="7">
        <f>SUM(C20:C24)</f>
        <v>224</v>
      </c>
      <c r="D26" s="7"/>
      <c r="E26" s="7"/>
      <c r="F26" s="7"/>
      <c r="G26" s="7"/>
      <c r="H26" s="7"/>
      <c r="I26" s="7"/>
      <c r="J26" s="7"/>
      <c r="K26" s="7"/>
      <c r="L26" s="7"/>
    </row>
    <row r="27" spans="1:12" x14ac:dyDescent="0.2">
      <c r="A27" s="1" t="s">
        <v>32</v>
      </c>
      <c r="C27" s="7">
        <f>C26*3%</f>
        <v>6.72</v>
      </c>
      <c r="D27" s="7"/>
      <c r="E27" s="7"/>
      <c r="F27" s="7"/>
      <c r="G27" s="7"/>
      <c r="H27" s="7"/>
      <c r="I27" s="7"/>
      <c r="J27" s="7"/>
      <c r="K27" s="7"/>
      <c r="L27" s="7"/>
    </row>
    <row r="28" spans="1:12" x14ac:dyDescent="0.2">
      <c r="C28" s="7"/>
      <c r="D28" s="7"/>
      <c r="E28" s="7"/>
      <c r="F28" s="7"/>
      <c r="G28" s="7"/>
      <c r="H28" s="7"/>
      <c r="I28" s="7"/>
      <c r="J28" s="7"/>
      <c r="K28" s="7"/>
      <c r="L28" s="7"/>
    </row>
    <row r="29" spans="1:12" s="8" customFormat="1" x14ac:dyDescent="0.2">
      <c r="A29" s="8" t="s">
        <v>3</v>
      </c>
      <c r="C29" s="7">
        <f t="shared" ref="C29" si="3">SUM(C26:C28)</f>
        <v>230.72</v>
      </c>
      <c r="D29" s="7"/>
      <c r="E29" s="7"/>
      <c r="F29" s="7"/>
      <c r="G29" s="7"/>
      <c r="H29" s="7"/>
      <c r="I29" s="7"/>
      <c r="J29" s="7"/>
      <c r="K29" s="7"/>
      <c r="L29" s="7"/>
    </row>
    <row r="30" spans="1:12" x14ac:dyDescent="0.2">
      <c r="C30" s="7"/>
      <c r="D30" s="7"/>
      <c r="E30" s="7"/>
      <c r="F30" s="7"/>
      <c r="G30" s="7"/>
      <c r="H30" s="7"/>
      <c r="I30" s="7"/>
      <c r="J30" s="7"/>
      <c r="K30" s="7"/>
      <c r="L30" s="7"/>
    </row>
    <row r="31" spans="1:12" x14ac:dyDescent="0.2">
      <c r="A31" s="1" t="s">
        <v>4</v>
      </c>
      <c r="C31" s="2">
        <f>C29*C18/1000</f>
        <v>41.507294015010132</v>
      </c>
      <c r="D31" s="2"/>
      <c r="E31" s="2"/>
      <c r="F31" s="2"/>
      <c r="G31" s="2"/>
      <c r="H31" s="2"/>
      <c r="I31" s="2"/>
      <c r="J31" s="2"/>
      <c r="K31" s="2"/>
      <c r="L31" s="2"/>
    </row>
    <row r="32" spans="1:12" x14ac:dyDescent="0.2">
      <c r="A32" s="1" t="s">
        <v>5</v>
      </c>
      <c r="C32" s="2">
        <v>15</v>
      </c>
      <c r="D32" s="2"/>
      <c r="E32" s="2"/>
      <c r="F32" s="2"/>
      <c r="G32" s="2"/>
      <c r="H32" s="2"/>
      <c r="I32" s="2"/>
      <c r="J32" s="2"/>
      <c r="K32" s="2"/>
      <c r="L32" s="2"/>
    </row>
    <row r="33" spans="1:12" x14ac:dyDescent="0.2">
      <c r="A33" s="1" t="s">
        <v>22</v>
      </c>
      <c r="C33" s="2">
        <v>0.75</v>
      </c>
      <c r="D33" s="2"/>
      <c r="E33" s="2"/>
      <c r="F33" s="2"/>
      <c r="G33" s="2"/>
      <c r="H33" s="2"/>
      <c r="I33" s="2"/>
      <c r="J33" s="2"/>
      <c r="K33" s="2"/>
      <c r="L33" s="2"/>
    </row>
    <row r="34" spans="1:12" x14ac:dyDescent="0.2">
      <c r="A34" s="1" t="s">
        <v>17</v>
      </c>
      <c r="C34" s="2">
        <v>0.5</v>
      </c>
      <c r="D34" s="2"/>
      <c r="E34" s="2"/>
      <c r="F34" s="2"/>
      <c r="G34" s="2"/>
      <c r="H34" s="2"/>
      <c r="I34" s="2"/>
      <c r="J34" s="2"/>
      <c r="K34" s="2"/>
      <c r="L34" s="2"/>
    </row>
    <row r="35" spans="1:12" x14ac:dyDescent="0.2">
      <c r="A35" s="1" t="s">
        <v>18</v>
      </c>
      <c r="C35" s="2">
        <v>1.25</v>
      </c>
      <c r="D35" s="2"/>
      <c r="E35" s="2"/>
      <c r="F35" s="2"/>
      <c r="G35" s="2"/>
      <c r="H35" s="2"/>
      <c r="I35" s="2"/>
      <c r="J35" s="2"/>
      <c r="K35" s="2"/>
      <c r="L35" s="2"/>
    </row>
    <row r="36" spans="1:12" x14ac:dyDescent="0.2">
      <c r="A36" s="1" t="s">
        <v>9</v>
      </c>
      <c r="C36" s="2">
        <v>1</v>
      </c>
      <c r="D36" s="2"/>
      <c r="E36" s="2"/>
      <c r="F36" s="2"/>
      <c r="G36" s="2"/>
      <c r="H36" s="2"/>
      <c r="I36" s="2"/>
      <c r="J36" s="2"/>
      <c r="K36" s="2"/>
      <c r="L36" s="2"/>
    </row>
    <row r="37" spans="1:12" x14ac:dyDescent="0.2">
      <c r="A37" s="1" t="s">
        <v>20</v>
      </c>
      <c r="C37" s="2">
        <v>1.5</v>
      </c>
      <c r="D37" s="2"/>
      <c r="E37" s="2"/>
      <c r="F37" s="2"/>
      <c r="G37" s="2"/>
      <c r="H37" s="2"/>
      <c r="I37" s="2"/>
      <c r="J37" s="2"/>
      <c r="K37" s="2"/>
      <c r="L37" s="2"/>
    </row>
    <row r="38" spans="1:12" x14ac:dyDescent="0.2">
      <c r="C38" s="2"/>
      <c r="D38" s="2"/>
      <c r="E38" s="2"/>
      <c r="F38" s="2"/>
      <c r="G38" s="2"/>
      <c r="H38" s="2"/>
      <c r="I38" s="2"/>
      <c r="J38" s="2"/>
      <c r="K38" s="2"/>
      <c r="L38" s="2"/>
    </row>
    <row r="39" spans="1:12" x14ac:dyDescent="0.2">
      <c r="A39" s="1" t="s">
        <v>2</v>
      </c>
      <c r="C39" s="2">
        <f>SUM(C31:C38)</f>
        <v>61.507294015010132</v>
      </c>
      <c r="D39" s="2"/>
      <c r="E39" s="2"/>
      <c r="F39" s="2"/>
      <c r="G39" s="2"/>
      <c r="H39" s="2"/>
      <c r="I39" s="2"/>
      <c r="J39" s="2"/>
      <c r="K39" s="2"/>
      <c r="L39" s="2"/>
    </row>
    <row r="40" spans="1:12" x14ac:dyDescent="0.2">
      <c r="A40" s="1" t="s">
        <v>19</v>
      </c>
      <c r="C40" s="2">
        <f t="shared" ref="C40" si="4">C39*1%</f>
        <v>0.61507294015010128</v>
      </c>
      <c r="D40" s="2"/>
      <c r="E40" s="2"/>
      <c r="F40" s="2"/>
      <c r="G40" s="2"/>
      <c r="H40" s="2"/>
      <c r="I40" s="2"/>
      <c r="J40" s="2"/>
      <c r="K40" s="2"/>
      <c r="L40" s="2"/>
    </row>
    <row r="41" spans="1:12" x14ac:dyDescent="0.2">
      <c r="C41" s="2"/>
      <c r="D41" s="2"/>
      <c r="E41" s="2"/>
      <c r="F41" s="2"/>
      <c r="G41" s="2"/>
      <c r="H41" s="2"/>
      <c r="I41" s="2"/>
      <c r="J41" s="2"/>
      <c r="K41" s="2"/>
      <c r="L41" s="2"/>
    </row>
    <row r="42" spans="1:12" x14ac:dyDescent="0.2">
      <c r="A42" s="1" t="s">
        <v>2</v>
      </c>
      <c r="C42" s="2">
        <f t="shared" ref="C42" si="5">SUM(C39:C41)</f>
        <v>62.122366955160231</v>
      </c>
      <c r="D42" s="2"/>
      <c r="E42" s="2"/>
      <c r="F42" s="2"/>
      <c r="G42" s="2"/>
      <c r="H42" s="2"/>
      <c r="I42" s="2"/>
      <c r="J42" s="2"/>
      <c r="K42" s="2"/>
      <c r="L42" s="2"/>
    </row>
    <row r="43" spans="1:12" x14ac:dyDescent="0.2">
      <c r="A43" s="1" t="s">
        <v>42</v>
      </c>
      <c r="C43" s="2">
        <f>C42*20%</f>
        <v>12.424473391032047</v>
      </c>
      <c r="D43" s="2"/>
      <c r="E43" s="2"/>
      <c r="F43" s="2"/>
      <c r="G43" s="2"/>
      <c r="H43" s="2"/>
      <c r="I43" s="2"/>
      <c r="J43" s="2"/>
      <c r="K43" s="2"/>
      <c r="L43" s="2"/>
    </row>
    <row r="44" spans="1:12" x14ac:dyDescent="0.2">
      <c r="C44" s="2"/>
      <c r="D44" s="2"/>
      <c r="E44" s="2"/>
      <c r="F44" s="2"/>
      <c r="G44" s="2"/>
      <c r="H44" s="2"/>
      <c r="I44" s="2"/>
      <c r="J44" s="2"/>
      <c r="K44" s="2"/>
      <c r="L44" s="2"/>
    </row>
    <row r="45" spans="1:12" x14ac:dyDescent="0.2">
      <c r="A45" s="1" t="s">
        <v>6</v>
      </c>
      <c r="C45" s="2">
        <f t="shared" ref="C45" si="6">SUM(C42:C44)</f>
        <v>74.546840346192283</v>
      </c>
      <c r="D45" s="2"/>
      <c r="E45" s="2"/>
      <c r="F45" s="2"/>
      <c r="G45" s="2"/>
      <c r="H45" s="2"/>
      <c r="I45" s="2"/>
      <c r="J45" s="2"/>
      <c r="K45" s="2"/>
      <c r="L45" s="2"/>
    </row>
    <row r="46" spans="1:12" x14ac:dyDescent="0.2">
      <c r="C46" s="2"/>
      <c r="D46" s="2"/>
      <c r="E46" s="2"/>
      <c r="F46" s="2"/>
      <c r="G46" s="2"/>
      <c r="H46" s="2"/>
      <c r="I46" s="2"/>
      <c r="J46" s="2"/>
      <c r="K46" s="2"/>
      <c r="L46" s="2"/>
    </row>
    <row r="47" spans="1:12" x14ac:dyDescent="0.2">
      <c r="A47" s="1" t="s">
        <v>90</v>
      </c>
      <c r="C47" s="2">
        <f>C45/88</f>
        <v>0.84712318575218504</v>
      </c>
      <c r="D47" s="2"/>
      <c r="E47" s="2"/>
      <c r="F47" s="2"/>
      <c r="G47" s="2"/>
      <c r="H47" s="2"/>
      <c r="I47" s="2"/>
      <c r="J47" s="2"/>
      <c r="K47" s="2"/>
      <c r="L47" s="2"/>
    </row>
    <row r="48" spans="1:12" x14ac:dyDescent="0.2">
      <c r="C48" s="2"/>
      <c r="D48" s="2"/>
      <c r="E48" s="2"/>
      <c r="F48" s="2"/>
      <c r="G48" s="2"/>
      <c r="H48" s="2"/>
      <c r="I48" s="2"/>
      <c r="J48" s="2"/>
      <c r="K48" s="2"/>
      <c r="L48" s="2"/>
    </row>
    <row r="49" spans="3:12" x14ac:dyDescent="0.2">
      <c r="C49" s="2"/>
      <c r="D49" s="2"/>
      <c r="E49" s="2"/>
      <c r="F49" s="2"/>
      <c r="G49" s="2"/>
      <c r="H49" s="2"/>
      <c r="I49" s="2"/>
      <c r="J49" s="2"/>
      <c r="K49" s="2"/>
      <c r="L49" s="2"/>
    </row>
    <row r="50" spans="3:12" x14ac:dyDescent="0.2">
      <c r="C50" s="2"/>
      <c r="D50" s="2"/>
      <c r="E50" s="2"/>
      <c r="F50" s="2"/>
      <c r="G50" s="2"/>
      <c r="H50" s="2"/>
      <c r="I50" s="2"/>
      <c r="J50" s="2"/>
      <c r="K50" s="2"/>
      <c r="L50" s="2"/>
    </row>
    <row r="51" spans="3:12" x14ac:dyDescent="0.2">
      <c r="C51" s="2"/>
      <c r="D51" s="2"/>
      <c r="E51" s="2"/>
      <c r="F51" s="2"/>
    </row>
    <row r="52" spans="3:12" s="6" customFormat="1" x14ac:dyDescent="0.2">
      <c r="C52" s="5"/>
      <c r="D52" s="5"/>
      <c r="E52" s="5"/>
      <c r="F52" s="5"/>
      <c r="G52" s="5"/>
      <c r="H52" s="5"/>
      <c r="I52" s="5"/>
      <c r="J52" s="5"/>
    </row>
    <row r="53" spans="3:12" x14ac:dyDescent="0.2">
      <c r="C53" s="2"/>
      <c r="D53" s="2"/>
      <c r="E53" s="2"/>
      <c r="F53" s="2"/>
    </row>
    <row r="54" spans="3:12" x14ac:dyDescent="0.2">
      <c r="C54" s="2"/>
      <c r="D54" s="2"/>
      <c r="E54" s="2"/>
      <c r="F54" s="2"/>
    </row>
    <row r="55" spans="3:12" x14ac:dyDescent="0.2">
      <c r="C55" s="2"/>
      <c r="D55" s="2"/>
      <c r="E55" s="2"/>
      <c r="F55" s="2"/>
    </row>
    <row r="56" spans="3:12" x14ac:dyDescent="0.2">
      <c r="C56" s="2"/>
      <c r="D56" s="2"/>
      <c r="E56" s="2"/>
      <c r="F56" s="2"/>
    </row>
    <row r="57" spans="3:12" x14ac:dyDescent="0.2">
      <c r="C57" s="2"/>
      <c r="D57" s="2"/>
      <c r="E57" s="2"/>
      <c r="F57" s="2"/>
    </row>
    <row r="58" spans="3:12" x14ac:dyDescent="0.2">
      <c r="C58" s="2"/>
      <c r="D58" s="2"/>
      <c r="E58" s="2"/>
      <c r="F58" s="2"/>
    </row>
    <row r="59" spans="3:12" x14ac:dyDescent="0.2">
      <c r="C59" s="2"/>
      <c r="D59" s="2"/>
      <c r="E59" s="2"/>
      <c r="F59" s="2"/>
    </row>
    <row r="60" spans="3:12" x14ac:dyDescent="0.2">
      <c r="C60" s="2"/>
      <c r="D60" s="2"/>
      <c r="E60" s="2"/>
      <c r="F60" s="2"/>
    </row>
    <row r="61" spans="3:12" x14ac:dyDescent="0.2">
      <c r="C61" s="2"/>
      <c r="D61" s="2"/>
      <c r="E61" s="2"/>
      <c r="F61" s="2"/>
    </row>
    <row r="62" spans="3:12" x14ac:dyDescent="0.2">
      <c r="C62" s="2"/>
      <c r="D62" s="2"/>
    </row>
    <row r="63" spans="3:12" x14ac:dyDescent="0.2">
      <c r="C63" s="2"/>
      <c r="D63" s="2"/>
    </row>
    <row r="64" spans="3:12" x14ac:dyDescent="0.2">
      <c r="C64" s="2"/>
      <c r="D64" s="2"/>
    </row>
    <row r="65" spans="3:4" x14ac:dyDescent="0.2">
      <c r="C65" s="2"/>
      <c r="D65" s="2"/>
    </row>
    <row r="66" spans="3:4" x14ac:dyDescent="0.2">
      <c r="C66" s="2"/>
      <c r="D66" s="2"/>
    </row>
    <row r="67" spans="3:4" x14ac:dyDescent="0.2">
      <c r="C67" s="2"/>
      <c r="D67" s="2"/>
    </row>
    <row r="68" spans="3:4" x14ac:dyDescent="0.2">
      <c r="C68" s="2"/>
      <c r="D68" s="2"/>
    </row>
    <row r="69" spans="3:4" x14ac:dyDescent="0.2">
      <c r="C69" s="2"/>
      <c r="D69" s="2"/>
    </row>
    <row r="70" spans="3:4" x14ac:dyDescent="0.2">
      <c r="C70" s="2"/>
      <c r="D70" s="2"/>
    </row>
    <row r="71" spans="3:4" x14ac:dyDescent="0.2">
      <c r="C71" s="10"/>
      <c r="D71" s="10"/>
    </row>
    <row r="72" spans="3:4" x14ac:dyDescent="0.2">
      <c r="C72" s="2"/>
      <c r="D72" s="2"/>
    </row>
    <row r="73" spans="3:4" x14ac:dyDescent="0.2">
      <c r="C73" s="10"/>
      <c r="D73" s="10"/>
    </row>
    <row r="74" spans="3:4" x14ac:dyDescent="0.2">
      <c r="C74" s="2"/>
      <c r="D74" s="2"/>
    </row>
    <row r="75" spans="3:4" x14ac:dyDescent="0.2">
      <c r="C75" s="10"/>
      <c r="D75" s="10"/>
    </row>
    <row r="76" spans="3:4" x14ac:dyDescent="0.2">
      <c r="C76" s="2"/>
      <c r="D76" s="2"/>
    </row>
    <row r="77" spans="3:4" x14ac:dyDescent="0.2">
      <c r="C77" s="2"/>
      <c r="D77" s="2"/>
    </row>
  </sheetData>
  <pageMargins left="0.39370078740157483" right="0.39370078740157483" top="0.39370078740157483" bottom="0.39370078740157483" header="0.39370078740157483" footer="0.39370078740157483"/>
  <pageSetup paperSize="9" orientation="portrait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ED29DD-EBF8-4C45-AAA1-3CA99F0934ED}">
  <sheetPr>
    <pageSetUpPr fitToPage="1"/>
  </sheetPr>
  <dimension ref="A1:L78"/>
  <sheetViews>
    <sheetView topLeftCell="A31" zoomScaleNormal="100" workbookViewId="0">
      <selection activeCell="C48" sqref="C48"/>
    </sheetView>
  </sheetViews>
  <sheetFormatPr defaultColWidth="9.14453125" defaultRowHeight="15" x14ac:dyDescent="0.2"/>
  <cols>
    <col min="1" max="1" width="18.16015625" style="1" bestFit="1" customWidth="1"/>
    <col min="2" max="2" width="5.6484375" style="1" customWidth="1"/>
    <col min="3" max="10" width="17.21875" style="1" bestFit="1" customWidth="1"/>
    <col min="11" max="12" width="13.85546875" style="1" bestFit="1" customWidth="1"/>
    <col min="13" max="16384" width="9.14453125" style="1"/>
  </cols>
  <sheetData>
    <row r="1" spans="1:12" ht="30" customHeight="1" x14ac:dyDescent="0.2">
      <c r="A1" s="1" t="s">
        <v>28</v>
      </c>
      <c r="C1" s="9" t="s">
        <v>50</v>
      </c>
      <c r="D1" s="9" t="s">
        <v>50</v>
      </c>
      <c r="E1" s="9" t="s">
        <v>50</v>
      </c>
      <c r="F1" s="9" t="s">
        <v>50</v>
      </c>
      <c r="G1" s="9"/>
      <c r="H1" s="9"/>
      <c r="I1" s="9"/>
      <c r="J1" s="9"/>
      <c r="K1" s="9"/>
      <c r="L1" s="9"/>
    </row>
    <row r="2" spans="1:12" x14ac:dyDescent="0.2">
      <c r="A2" s="1" t="s">
        <v>0</v>
      </c>
      <c r="C2" s="1" t="s">
        <v>51</v>
      </c>
      <c r="D2" s="1" t="s">
        <v>51</v>
      </c>
      <c r="E2" s="1" t="s">
        <v>51</v>
      </c>
      <c r="F2" s="1" t="s">
        <v>51</v>
      </c>
    </row>
    <row r="3" spans="1:12" x14ac:dyDescent="0.2">
      <c r="A3" s="1" t="s">
        <v>1</v>
      </c>
      <c r="C3" s="1">
        <v>180</v>
      </c>
      <c r="D3" s="1">
        <v>180</v>
      </c>
      <c r="E3" s="1">
        <v>180</v>
      </c>
      <c r="F3" s="1">
        <v>180</v>
      </c>
    </row>
    <row r="4" spans="1:12" x14ac:dyDescent="0.2">
      <c r="C4" s="1" t="s">
        <v>23</v>
      </c>
      <c r="D4" s="1" t="s">
        <v>24</v>
      </c>
      <c r="E4" s="1" t="s">
        <v>25</v>
      </c>
      <c r="F4" s="1" t="s">
        <v>26</v>
      </c>
    </row>
    <row r="6" spans="1:12" x14ac:dyDescent="0.2">
      <c r="A6" s="1" t="s">
        <v>10</v>
      </c>
      <c r="C6" s="1">
        <v>18</v>
      </c>
      <c r="D6" s="1">
        <v>20</v>
      </c>
      <c r="E6" s="1">
        <v>22</v>
      </c>
      <c r="F6" s="1">
        <v>24</v>
      </c>
    </row>
    <row r="7" spans="1:12" x14ac:dyDescent="0.2">
      <c r="A7" s="1" t="s">
        <v>12</v>
      </c>
      <c r="C7" s="1">
        <v>28</v>
      </c>
      <c r="D7" s="1">
        <v>29</v>
      </c>
      <c r="E7" s="1">
        <v>30</v>
      </c>
      <c r="F7" s="1">
        <v>31</v>
      </c>
    </row>
    <row r="8" spans="1:12" x14ac:dyDescent="0.2">
      <c r="A8" s="1" t="s">
        <v>11</v>
      </c>
      <c r="C8" s="1">
        <v>7.5</v>
      </c>
      <c r="D8" s="1">
        <v>8</v>
      </c>
      <c r="E8" s="1">
        <v>8.5</v>
      </c>
      <c r="F8" s="1">
        <v>9</v>
      </c>
    </row>
    <row r="10" spans="1:12" x14ac:dyDescent="0.2">
      <c r="A10" s="1" t="s">
        <v>14</v>
      </c>
      <c r="C10" s="7">
        <f>(C6+1)*(C7+C8+3)*2*2.54*2.54/10000*C3</f>
        <v>169.8964344</v>
      </c>
      <c r="D10" s="7">
        <f t="shared" ref="D10:F10" si="0">(D6+1)*(D7+D8+3)*2*2.54*2.54/10000*D3</f>
        <v>195.096384</v>
      </c>
      <c r="E10" s="7">
        <f t="shared" si="0"/>
        <v>221.68987920000001</v>
      </c>
      <c r="F10" s="7">
        <f t="shared" si="0"/>
        <v>249.67692</v>
      </c>
      <c r="G10" s="7"/>
      <c r="H10" s="7"/>
      <c r="I10" s="7"/>
      <c r="J10" s="7"/>
      <c r="K10" s="7"/>
      <c r="L10" s="7"/>
    </row>
    <row r="11" spans="1:12" x14ac:dyDescent="0.2">
      <c r="A11" s="1" t="s">
        <v>21</v>
      </c>
      <c r="C11" s="7">
        <v>6</v>
      </c>
      <c r="D11" s="7">
        <v>6</v>
      </c>
      <c r="E11" s="7">
        <v>6</v>
      </c>
      <c r="F11" s="7">
        <v>6</v>
      </c>
      <c r="G11" s="7"/>
      <c r="H11" s="7"/>
      <c r="I11" s="7"/>
      <c r="J11" s="7"/>
      <c r="K11" s="7"/>
      <c r="L11" s="7"/>
    </row>
    <row r="12" spans="1:12" x14ac:dyDescent="0.2">
      <c r="A12" s="1" t="s">
        <v>13</v>
      </c>
      <c r="C12" s="7">
        <v>6</v>
      </c>
      <c r="D12" s="7">
        <v>6</v>
      </c>
      <c r="E12" s="7">
        <v>6</v>
      </c>
      <c r="F12" s="7">
        <v>6</v>
      </c>
      <c r="G12" s="7"/>
      <c r="H12" s="7"/>
      <c r="I12" s="7"/>
      <c r="J12" s="7"/>
      <c r="K12" s="7"/>
      <c r="L12" s="7"/>
    </row>
    <row r="14" spans="1:12" x14ac:dyDescent="0.2">
      <c r="A14" s="1" t="s">
        <v>15</v>
      </c>
      <c r="C14" s="7">
        <f t="shared" ref="C14:F14" si="1">SUM(C10:C13)</f>
        <v>181.8964344</v>
      </c>
      <c r="D14" s="7">
        <f t="shared" si="1"/>
        <v>207.096384</v>
      </c>
      <c r="E14" s="7">
        <f t="shared" si="1"/>
        <v>233.68987920000001</v>
      </c>
      <c r="F14" s="7">
        <f t="shared" si="1"/>
        <v>261.67692</v>
      </c>
      <c r="G14" s="7">
        <f>G16/G15</f>
        <v>220.85764679999997</v>
      </c>
      <c r="H14" s="7"/>
      <c r="I14" s="7"/>
      <c r="J14" s="7"/>
      <c r="K14" s="7"/>
      <c r="L14" s="7"/>
    </row>
    <row r="15" spans="1:12" x14ac:dyDescent="0.2">
      <c r="A15" s="1" t="s">
        <v>46</v>
      </c>
      <c r="C15" s="7">
        <v>1</v>
      </c>
      <c r="D15" s="7">
        <v>2</v>
      </c>
      <c r="E15" s="7">
        <v>2</v>
      </c>
      <c r="F15" s="7">
        <v>1</v>
      </c>
      <c r="G15" s="7">
        <f>SUM(C15:F15)</f>
        <v>6</v>
      </c>
      <c r="H15" s="7"/>
      <c r="I15" s="7"/>
      <c r="J15" s="7"/>
      <c r="K15" s="7"/>
      <c r="L15" s="7"/>
    </row>
    <row r="16" spans="1:12" x14ac:dyDescent="0.2">
      <c r="C16" s="7">
        <f>C14*C15</f>
        <v>181.8964344</v>
      </c>
      <c r="D16" s="7">
        <f t="shared" ref="D16:F16" si="2">D14*D15</f>
        <v>414.192768</v>
      </c>
      <c r="E16" s="7">
        <f t="shared" si="2"/>
        <v>467.37975840000001</v>
      </c>
      <c r="F16" s="7">
        <f t="shared" si="2"/>
        <v>261.67692</v>
      </c>
      <c r="G16" s="7">
        <f>SUM(C16:F16)</f>
        <v>1325.1458807999998</v>
      </c>
      <c r="H16" s="7"/>
      <c r="I16" s="7"/>
      <c r="J16" s="7"/>
      <c r="K16" s="7"/>
      <c r="L16" s="7"/>
    </row>
    <row r="17" spans="1:12" x14ac:dyDescent="0.2">
      <c r="C17" s="7"/>
      <c r="D17" s="7"/>
      <c r="E17" s="7"/>
      <c r="F17" s="7"/>
      <c r="G17" s="7"/>
      <c r="H17" s="7"/>
      <c r="I17" s="7"/>
      <c r="J17" s="7"/>
      <c r="K17" s="7"/>
      <c r="L17" s="7"/>
    </row>
    <row r="18" spans="1:12" x14ac:dyDescent="0.2">
      <c r="A18" s="1" t="s">
        <v>47</v>
      </c>
      <c r="C18" s="7">
        <v>221</v>
      </c>
      <c r="D18" s="7"/>
      <c r="E18" s="7"/>
      <c r="F18" s="7"/>
      <c r="G18" s="7"/>
      <c r="H18" s="7"/>
      <c r="I18" s="7"/>
      <c r="J18" s="7"/>
      <c r="K18" s="7"/>
      <c r="L18" s="7"/>
    </row>
    <row r="20" spans="1:12" x14ac:dyDescent="0.2">
      <c r="A20" s="1" t="s">
        <v>16</v>
      </c>
      <c r="C20" s="7">
        <v>365</v>
      </c>
      <c r="D20" s="7"/>
      <c r="E20" s="7"/>
      <c r="F20" s="7"/>
      <c r="G20" s="7"/>
      <c r="H20" s="7"/>
      <c r="I20" s="7"/>
      <c r="J20" s="7"/>
      <c r="K20" s="7"/>
      <c r="L20" s="7"/>
    </row>
    <row r="21" spans="1:12" x14ac:dyDescent="0.2">
      <c r="A21" s="1" t="s">
        <v>7</v>
      </c>
      <c r="C21" s="7">
        <v>40</v>
      </c>
      <c r="D21" s="7"/>
      <c r="E21" s="7"/>
      <c r="F21" s="7"/>
      <c r="G21" s="7"/>
      <c r="H21" s="7"/>
      <c r="I21" s="7"/>
      <c r="J21" s="7"/>
      <c r="K21" s="7"/>
      <c r="L21" s="7"/>
    </row>
    <row r="22" spans="1:12" x14ac:dyDescent="0.2">
      <c r="A22" s="1" t="s">
        <v>52</v>
      </c>
      <c r="C22" s="7">
        <v>14</v>
      </c>
      <c r="D22" s="7"/>
      <c r="E22" s="7"/>
      <c r="F22" s="7"/>
      <c r="G22" s="7"/>
      <c r="H22" s="7"/>
      <c r="I22" s="7"/>
      <c r="J22" s="7"/>
      <c r="K22" s="7"/>
      <c r="L22" s="7"/>
    </row>
    <row r="23" spans="1:12" x14ac:dyDescent="0.2">
      <c r="A23" s="1" t="s">
        <v>37</v>
      </c>
      <c r="C23" s="7">
        <v>95</v>
      </c>
      <c r="D23" s="7"/>
      <c r="E23" s="7"/>
      <c r="F23" s="7"/>
      <c r="G23" s="7"/>
      <c r="H23" s="7"/>
      <c r="I23" s="7"/>
      <c r="J23" s="7"/>
      <c r="K23" s="7"/>
      <c r="L23" s="7"/>
    </row>
    <row r="24" spans="1:12" x14ac:dyDescent="0.2">
      <c r="A24" s="1" t="s">
        <v>38</v>
      </c>
      <c r="C24" s="7">
        <v>18</v>
      </c>
      <c r="D24" s="7"/>
      <c r="E24" s="7"/>
      <c r="F24" s="7"/>
      <c r="G24" s="7"/>
      <c r="H24" s="7"/>
      <c r="I24" s="7"/>
      <c r="J24" s="7"/>
      <c r="K24" s="7"/>
      <c r="L24" s="7"/>
    </row>
    <row r="25" spans="1:12" x14ac:dyDescent="0.2">
      <c r="A25" s="1" t="s">
        <v>8</v>
      </c>
      <c r="C25" s="7">
        <v>9</v>
      </c>
      <c r="D25" s="7"/>
      <c r="E25" s="7"/>
      <c r="F25" s="7"/>
      <c r="G25" s="7"/>
      <c r="H25" s="7"/>
      <c r="I25" s="7"/>
      <c r="J25" s="7"/>
      <c r="K25" s="7"/>
      <c r="L25" s="7"/>
    </row>
    <row r="26" spans="1:12" x14ac:dyDescent="0.2">
      <c r="C26" s="7"/>
      <c r="D26" s="7"/>
      <c r="E26" s="7"/>
      <c r="F26" s="7"/>
      <c r="G26" s="7"/>
      <c r="H26" s="7"/>
      <c r="I26" s="7"/>
      <c r="J26" s="7"/>
      <c r="K26" s="7"/>
      <c r="L26" s="7"/>
    </row>
    <row r="27" spans="1:12" x14ac:dyDescent="0.2">
      <c r="A27" s="1" t="s">
        <v>2</v>
      </c>
      <c r="C27" s="7">
        <f>SUM(C20:C25)</f>
        <v>541</v>
      </c>
      <c r="D27" s="7"/>
      <c r="E27" s="7"/>
      <c r="F27" s="7"/>
      <c r="G27" s="7"/>
      <c r="H27" s="7"/>
      <c r="I27" s="7"/>
      <c r="J27" s="7"/>
      <c r="K27" s="7"/>
      <c r="L27" s="7"/>
    </row>
    <row r="28" spans="1:12" x14ac:dyDescent="0.2">
      <c r="A28" s="1" t="s">
        <v>53</v>
      </c>
      <c r="C28" s="7">
        <f>C27*10%</f>
        <v>54.1</v>
      </c>
      <c r="D28" s="7"/>
      <c r="E28" s="7"/>
      <c r="F28" s="7"/>
      <c r="G28" s="7"/>
      <c r="H28" s="7"/>
      <c r="I28" s="7"/>
      <c r="J28" s="7"/>
      <c r="K28" s="7"/>
      <c r="L28" s="7"/>
    </row>
    <row r="29" spans="1:12" x14ac:dyDescent="0.2">
      <c r="C29" s="7"/>
      <c r="D29" s="7"/>
      <c r="E29" s="7"/>
      <c r="F29" s="7"/>
      <c r="G29" s="7"/>
      <c r="H29" s="7"/>
      <c r="I29" s="7"/>
      <c r="J29" s="7"/>
      <c r="K29" s="7"/>
      <c r="L29" s="7"/>
    </row>
    <row r="30" spans="1:12" s="8" customFormat="1" x14ac:dyDescent="0.2">
      <c r="A30" s="8" t="s">
        <v>3</v>
      </c>
      <c r="C30" s="7">
        <f t="shared" ref="C30" si="3">SUM(C27:C29)</f>
        <v>595.1</v>
      </c>
      <c r="D30" s="7"/>
      <c r="E30" s="7"/>
      <c r="F30" s="7"/>
      <c r="G30" s="7"/>
      <c r="H30" s="7"/>
      <c r="I30" s="7"/>
      <c r="J30" s="7"/>
      <c r="K30" s="7"/>
      <c r="L30" s="7"/>
    </row>
    <row r="31" spans="1:12" x14ac:dyDescent="0.2">
      <c r="C31" s="7"/>
      <c r="D31" s="7"/>
      <c r="E31" s="7"/>
      <c r="F31" s="7"/>
      <c r="G31" s="7"/>
      <c r="H31" s="7"/>
      <c r="I31" s="7"/>
      <c r="J31" s="7"/>
      <c r="K31" s="7"/>
      <c r="L31" s="7"/>
    </row>
    <row r="32" spans="1:12" x14ac:dyDescent="0.2">
      <c r="A32" s="1" t="s">
        <v>4</v>
      </c>
      <c r="C32" s="2">
        <f>C30*C18/1000</f>
        <v>131.5171</v>
      </c>
      <c r="D32" s="2"/>
      <c r="E32" s="2"/>
      <c r="F32" s="2"/>
      <c r="G32" s="2"/>
      <c r="H32" s="2"/>
      <c r="I32" s="2"/>
      <c r="J32" s="2"/>
      <c r="K32" s="2"/>
      <c r="L32" s="2"/>
    </row>
    <row r="33" spans="1:12" x14ac:dyDescent="0.2">
      <c r="A33" s="1" t="s">
        <v>5</v>
      </c>
      <c r="C33" s="2">
        <v>12</v>
      </c>
      <c r="D33" s="2"/>
      <c r="E33" s="2"/>
      <c r="F33" s="2"/>
      <c r="G33" s="2"/>
      <c r="H33" s="2"/>
      <c r="I33" s="2"/>
      <c r="J33" s="2"/>
      <c r="K33" s="2"/>
      <c r="L33" s="2"/>
    </row>
    <row r="34" spans="1:12" x14ac:dyDescent="0.2">
      <c r="A34" s="1" t="s">
        <v>22</v>
      </c>
      <c r="C34" s="2">
        <v>0.45</v>
      </c>
      <c r="D34" s="2"/>
      <c r="E34" s="2"/>
      <c r="F34" s="2"/>
      <c r="G34" s="2"/>
      <c r="H34" s="2"/>
      <c r="I34" s="2"/>
      <c r="J34" s="2"/>
      <c r="K34" s="2"/>
      <c r="L34" s="2"/>
    </row>
    <row r="35" spans="1:12" x14ac:dyDescent="0.2">
      <c r="A35" s="1" t="s">
        <v>17</v>
      </c>
      <c r="C35" s="2">
        <v>0.4</v>
      </c>
      <c r="D35" s="2"/>
      <c r="E35" s="2"/>
      <c r="F35" s="2"/>
      <c r="G35" s="2"/>
      <c r="H35" s="2"/>
      <c r="I35" s="2"/>
      <c r="J35" s="2"/>
      <c r="K35" s="2"/>
      <c r="L35" s="2"/>
    </row>
    <row r="36" spans="1:12" x14ac:dyDescent="0.2">
      <c r="A36" s="1" t="s">
        <v>18</v>
      </c>
      <c r="C36" s="2">
        <v>1</v>
      </c>
      <c r="D36" s="2"/>
      <c r="E36" s="2"/>
      <c r="F36" s="2"/>
      <c r="G36" s="2"/>
      <c r="H36" s="2"/>
      <c r="I36" s="2"/>
      <c r="J36" s="2"/>
      <c r="K36" s="2"/>
      <c r="L36" s="2"/>
    </row>
    <row r="37" spans="1:12" x14ac:dyDescent="0.2">
      <c r="A37" s="1" t="s">
        <v>9</v>
      </c>
      <c r="C37" s="2">
        <v>1</v>
      </c>
      <c r="D37" s="2"/>
      <c r="E37" s="2"/>
      <c r="F37" s="2"/>
      <c r="G37" s="2"/>
      <c r="H37" s="2"/>
      <c r="I37" s="2"/>
      <c r="J37" s="2"/>
      <c r="K37" s="2"/>
      <c r="L37" s="2"/>
    </row>
    <row r="38" spans="1:12" x14ac:dyDescent="0.2">
      <c r="A38" s="1" t="s">
        <v>20</v>
      </c>
      <c r="C38" s="2">
        <v>1.5</v>
      </c>
      <c r="D38" s="2"/>
      <c r="E38" s="2"/>
      <c r="F38" s="2"/>
      <c r="G38" s="2"/>
      <c r="H38" s="2"/>
      <c r="I38" s="2"/>
      <c r="J38" s="2"/>
      <c r="K38" s="2"/>
      <c r="L38" s="2"/>
    </row>
    <row r="39" spans="1:12" x14ac:dyDescent="0.2">
      <c r="C39" s="2"/>
      <c r="D39" s="2"/>
      <c r="E39" s="2"/>
      <c r="F39" s="2"/>
      <c r="G39" s="2"/>
      <c r="H39" s="2"/>
      <c r="I39" s="2"/>
      <c r="J39" s="2"/>
      <c r="K39" s="2"/>
      <c r="L39" s="2"/>
    </row>
    <row r="40" spans="1:12" x14ac:dyDescent="0.2">
      <c r="A40" s="1" t="s">
        <v>2</v>
      </c>
      <c r="C40" s="2">
        <f>SUM(C32:C39)</f>
        <v>147.86709999999999</v>
      </c>
      <c r="D40" s="2"/>
      <c r="E40" s="2"/>
      <c r="F40" s="2"/>
      <c r="G40" s="2"/>
      <c r="H40" s="2"/>
      <c r="I40" s="2"/>
      <c r="J40" s="2"/>
      <c r="K40" s="2"/>
      <c r="L40" s="2"/>
    </row>
    <row r="41" spans="1:12" x14ac:dyDescent="0.2">
      <c r="A41" s="1" t="s">
        <v>19</v>
      </c>
      <c r="C41" s="2">
        <f t="shared" ref="C41" si="4">C40*1%</f>
        <v>1.4786710000000001</v>
      </c>
      <c r="D41" s="2"/>
      <c r="E41" s="2"/>
      <c r="F41" s="2"/>
      <c r="G41" s="2"/>
      <c r="H41" s="2"/>
      <c r="I41" s="2"/>
      <c r="J41" s="2"/>
      <c r="K41" s="2"/>
      <c r="L41" s="2"/>
    </row>
    <row r="42" spans="1:12" x14ac:dyDescent="0.2">
      <c r="C42" s="2"/>
      <c r="D42" s="2"/>
      <c r="E42" s="2"/>
      <c r="F42" s="2"/>
      <c r="G42" s="2"/>
      <c r="H42" s="2"/>
      <c r="I42" s="2"/>
      <c r="J42" s="2"/>
      <c r="K42" s="2"/>
      <c r="L42" s="2"/>
    </row>
    <row r="43" spans="1:12" x14ac:dyDescent="0.2">
      <c r="A43" s="1" t="s">
        <v>2</v>
      </c>
      <c r="C43" s="2">
        <f t="shared" ref="C43" si="5">SUM(C40:C42)</f>
        <v>149.34577099999998</v>
      </c>
      <c r="D43" s="2"/>
      <c r="E43" s="2"/>
      <c r="F43" s="2"/>
      <c r="G43" s="2"/>
      <c r="H43" s="2"/>
      <c r="I43" s="2"/>
      <c r="J43" s="2"/>
      <c r="K43" s="2"/>
      <c r="L43" s="2"/>
    </row>
    <row r="44" spans="1:12" x14ac:dyDescent="0.2">
      <c r="A44" s="1" t="s">
        <v>42</v>
      </c>
      <c r="C44" s="2">
        <f>C43*20%</f>
        <v>29.869154199999997</v>
      </c>
      <c r="D44" s="2"/>
      <c r="E44" s="2"/>
      <c r="F44" s="2"/>
      <c r="G44" s="2"/>
      <c r="H44" s="2"/>
      <c r="I44" s="2"/>
      <c r="J44" s="2"/>
      <c r="K44" s="2"/>
      <c r="L44" s="2"/>
    </row>
    <row r="45" spans="1:12" x14ac:dyDescent="0.2">
      <c r="C45" s="2"/>
      <c r="D45" s="2"/>
      <c r="E45" s="2"/>
      <c r="F45" s="2"/>
      <c r="G45" s="2"/>
      <c r="H45" s="2"/>
      <c r="I45" s="2"/>
      <c r="J45" s="2"/>
      <c r="K45" s="2"/>
      <c r="L45" s="2"/>
    </row>
    <row r="46" spans="1:12" x14ac:dyDescent="0.2">
      <c r="A46" s="1" t="s">
        <v>6</v>
      </c>
      <c r="C46" s="2">
        <f t="shared" ref="C46" si="6">SUM(C43:C45)</f>
        <v>179.21492519999998</v>
      </c>
      <c r="D46" s="2"/>
      <c r="E46" s="2"/>
      <c r="F46" s="2"/>
      <c r="G46" s="2"/>
      <c r="H46" s="2"/>
      <c r="I46" s="2"/>
      <c r="J46" s="2"/>
      <c r="K46" s="2"/>
      <c r="L46" s="2"/>
    </row>
    <row r="47" spans="1:12" x14ac:dyDescent="0.2">
      <c r="C47" s="2"/>
      <c r="D47" s="2"/>
      <c r="E47" s="2"/>
      <c r="F47" s="2"/>
      <c r="G47" s="2"/>
      <c r="H47" s="2"/>
      <c r="I47" s="2"/>
      <c r="J47" s="2"/>
      <c r="K47" s="2"/>
      <c r="L47" s="2"/>
    </row>
    <row r="48" spans="1:12" x14ac:dyDescent="0.2">
      <c r="A48" s="1" t="s">
        <v>48</v>
      </c>
      <c r="C48" s="2">
        <f>C46/90</f>
        <v>1.9912769466666664</v>
      </c>
      <c r="D48" s="2"/>
      <c r="E48" s="2"/>
      <c r="F48" s="2"/>
      <c r="G48" s="2"/>
      <c r="H48" s="2"/>
      <c r="I48" s="2"/>
      <c r="J48" s="2"/>
      <c r="K48" s="2"/>
      <c r="L48" s="2"/>
    </row>
    <row r="49" spans="3:12" x14ac:dyDescent="0.2">
      <c r="C49" s="2"/>
      <c r="D49" s="2"/>
      <c r="E49" s="2"/>
      <c r="F49" s="2"/>
      <c r="G49" s="2"/>
      <c r="H49" s="2"/>
      <c r="I49" s="2"/>
      <c r="J49" s="2"/>
      <c r="K49" s="2"/>
      <c r="L49" s="2"/>
    </row>
    <row r="50" spans="3:12" x14ac:dyDescent="0.2">
      <c r="C50" s="2"/>
      <c r="D50" s="2"/>
      <c r="E50" s="2"/>
      <c r="F50" s="2"/>
      <c r="G50" s="2"/>
      <c r="H50" s="2"/>
      <c r="I50" s="2"/>
      <c r="J50" s="2"/>
      <c r="K50" s="2"/>
      <c r="L50" s="2"/>
    </row>
    <row r="51" spans="3:12" x14ac:dyDescent="0.2">
      <c r="C51" s="2"/>
      <c r="D51" s="2"/>
      <c r="E51" s="2"/>
      <c r="F51" s="2"/>
      <c r="G51" s="2"/>
      <c r="H51" s="2"/>
      <c r="I51" s="2"/>
      <c r="J51" s="2"/>
      <c r="K51" s="2"/>
      <c r="L51" s="2"/>
    </row>
    <row r="52" spans="3:12" x14ac:dyDescent="0.2">
      <c r="C52" s="2"/>
      <c r="D52" s="2"/>
      <c r="E52" s="2"/>
      <c r="F52" s="2"/>
    </row>
    <row r="53" spans="3:12" s="6" customFormat="1" x14ac:dyDescent="0.2">
      <c r="C53" s="5"/>
      <c r="D53" s="5"/>
      <c r="E53" s="5"/>
      <c r="F53" s="5"/>
      <c r="G53" s="5"/>
      <c r="H53" s="5"/>
      <c r="I53" s="5"/>
      <c r="J53" s="5"/>
    </row>
    <row r="54" spans="3:12" x14ac:dyDescent="0.2">
      <c r="C54" s="2"/>
      <c r="D54" s="2"/>
      <c r="E54" s="2"/>
      <c r="F54" s="2"/>
    </row>
    <row r="55" spans="3:12" x14ac:dyDescent="0.2">
      <c r="C55" s="2"/>
      <c r="D55" s="2"/>
      <c r="E55" s="2"/>
      <c r="F55" s="2"/>
    </row>
    <row r="56" spans="3:12" x14ac:dyDescent="0.2">
      <c r="C56" s="2"/>
      <c r="D56" s="2"/>
      <c r="E56" s="2"/>
      <c r="F56" s="2"/>
    </row>
    <row r="57" spans="3:12" x14ac:dyDescent="0.2">
      <c r="C57" s="2"/>
      <c r="D57" s="2"/>
      <c r="E57" s="2"/>
      <c r="F57" s="2"/>
    </row>
    <row r="58" spans="3:12" x14ac:dyDescent="0.2">
      <c r="C58" s="2"/>
      <c r="D58" s="2"/>
      <c r="E58" s="2"/>
      <c r="F58" s="2"/>
    </row>
    <row r="59" spans="3:12" x14ac:dyDescent="0.2">
      <c r="C59" s="2"/>
      <c r="D59" s="2"/>
      <c r="E59" s="2"/>
      <c r="F59" s="2"/>
    </row>
    <row r="60" spans="3:12" x14ac:dyDescent="0.2">
      <c r="C60" s="2"/>
      <c r="D60" s="2"/>
      <c r="E60" s="2"/>
      <c r="F60" s="2"/>
    </row>
    <row r="61" spans="3:12" x14ac:dyDescent="0.2">
      <c r="C61" s="2"/>
      <c r="D61" s="2"/>
      <c r="E61" s="2"/>
      <c r="F61" s="2"/>
    </row>
    <row r="62" spans="3:12" x14ac:dyDescent="0.2">
      <c r="C62" s="2"/>
      <c r="D62" s="2"/>
      <c r="E62" s="2"/>
      <c r="F62" s="2"/>
    </row>
    <row r="63" spans="3:12" x14ac:dyDescent="0.2">
      <c r="C63" s="2"/>
      <c r="D63" s="2"/>
    </row>
    <row r="64" spans="3:12" x14ac:dyDescent="0.2">
      <c r="C64" s="2"/>
      <c r="D64" s="2"/>
    </row>
    <row r="65" spans="3:4" x14ac:dyDescent="0.2">
      <c r="C65" s="2"/>
      <c r="D65" s="2"/>
    </row>
    <row r="66" spans="3:4" x14ac:dyDescent="0.2">
      <c r="C66" s="2"/>
      <c r="D66" s="2"/>
    </row>
    <row r="67" spans="3:4" x14ac:dyDescent="0.2">
      <c r="C67" s="2"/>
      <c r="D67" s="2"/>
    </row>
    <row r="68" spans="3:4" x14ac:dyDescent="0.2">
      <c r="C68" s="2"/>
      <c r="D68" s="2"/>
    </row>
    <row r="69" spans="3:4" x14ac:dyDescent="0.2">
      <c r="C69" s="2"/>
      <c r="D69" s="2"/>
    </row>
    <row r="70" spans="3:4" x14ac:dyDescent="0.2">
      <c r="C70" s="2"/>
      <c r="D70" s="2"/>
    </row>
    <row r="71" spans="3:4" x14ac:dyDescent="0.2">
      <c r="C71" s="2"/>
      <c r="D71" s="2"/>
    </row>
    <row r="72" spans="3:4" x14ac:dyDescent="0.2">
      <c r="C72" s="10"/>
      <c r="D72" s="10"/>
    </row>
    <row r="73" spans="3:4" x14ac:dyDescent="0.2">
      <c r="C73" s="2"/>
      <c r="D73" s="2"/>
    </row>
    <row r="74" spans="3:4" x14ac:dyDescent="0.2">
      <c r="C74" s="10"/>
      <c r="D74" s="10"/>
    </row>
    <row r="75" spans="3:4" x14ac:dyDescent="0.2">
      <c r="C75" s="2"/>
      <c r="D75" s="2"/>
    </row>
    <row r="76" spans="3:4" x14ac:dyDescent="0.2">
      <c r="C76" s="10"/>
      <c r="D76" s="10"/>
    </row>
    <row r="77" spans="3:4" x14ac:dyDescent="0.2">
      <c r="C77" s="2"/>
      <c r="D77" s="2"/>
    </row>
    <row r="78" spans="3:4" x14ac:dyDescent="0.2">
      <c r="C78" s="2"/>
      <c r="D78" s="2"/>
    </row>
  </sheetData>
  <pageMargins left="0.39370078740157483" right="0.39370078740157483" top="0.39370078740157483" bottom="0.39370078740157483" header="0.39370078740157483" footer="0.39370078740157483"/>
  <pageSetup paperSize="9" scale="74" orientation="portrait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D1BF49-F19A-43E2-BFA6-304AD94E436A}">
  <sheetPr>
    <pageSetUpPr fitToPage="1"/>
  </sheetPr>
  <dimension ref="A1:L76"/>
  <sheetViews>
    <sheetView topLeftCell="A34" zoomScaleNormal="100" workbookViewId="0">
      <selection activeCell="C46" sqref="C46"/>
    </sheetView>
  </sheetViews>
  <sheetFormatPr defaultColWidth="9.14453125" defaultRowHeight="15" x14ac:dyDescent="0.2"/>
  <cols>
    <col min="1" max="1" width="18.16015625" style="1" bestFit="1" customWidth="1"/>
    <col min="2" max="2" width="5.6484375" style="1" customWidth="1"/>
    <col min="3" max="10" width="17.21875" style="1" bestFit="1" customWidth="1"/>
    <col min="11" max="12" width="13.85546875" style="1" bestFit="1" customWidth="1"/>
    <col min="13" max="16384" width="9.14453125" style="1"/>
  </cols>
  <sheetData>
    <row r="1" spans="1:12" ht="30" customHeight="1" x14ac:dyDescent="0.2">
      <c r="A1" s="1" t="s">
        <v>28</v>
      </c>
      <c r="C1" s="9" t="s">
        <v>30</v>
      </c>
      <c r="D1" s="9" t="s">
        <v>30</v>
      </c>
      <c r="E1" s="9" t="s">
        <v>30</v>
      </c>
      <c r="F1" s="9" t="s">
        <v>30</v>
      </c>
      <c r="G1" s="9"/>
      <c r="H1" s="9"/>
      <c r="I1" s="9"/>
      <c r="J1" s="9"/>
      <c r="K1" s="9"/>
      <c r="L1" s="9"/>
    </row>
    <row r="2" spans="1:12" x14ac:dyDescent="0.2">
      <c r="A2" s="1" t="s">
        <v>0</v>
      </c>
      <c r="C2" s="1" t="s">
        <v>44</v>
      </c>
      <c r="D2" s="1" t="s">
        <v>44</v>
      </c>
      <c r="E2" s="1" t="s">
        <v>44</v>
      </c>
      <c r="F2" s="1" t="s">
        <v>44</v>
      </c>
    </row>
    <row r="3" spans="1:12" x14ac:dyDescent="0.2">
      <c r="A3" s="1" t="s">
        <v>1</v>
      </c>
      <c r="C3" s="1">
        <v>145</v>
      </c>
      <c r="D3" s="1">
        <v>145</v>
      </c>
      <c r="E3" s="1">
        <v>145</v>
      </c>
      <c r="F3" s="1">
        <v>145</v>
      </c>
    </row>
    <row r="4" spans="1:12" x14ac:dyDescent="0.2">
      <c r="C4" s="1" t="s">
        <v>23</v>
      </c>
      <c r="D4" s="1" t="s">
        <v>24</v>
      </c>
      <c r="E4" s="1" t="s">
        <v>25</v>
      </c>
      <c r="F4" s="1" t="s">
        <v>26</v>
      </c>
    </row>
    <row r="6" spans="1:12" x14ac:dyDescent="0.2">
      <c r="A6" s="1" t="s">
        <v>10</v>
      </c>
      <c r="C6" s="1">
        <v>18</v>
      </c>
      <c r="D6" s="1">
        <v>20</v>
      </c>
      <c r="E6" s="1">
        <v>22</v>
      </c>
      <c r="F6" s="1">
        <v>24</v>
      </c>
    </row>
    <row r="7" spans="1:12" x14ac:dyDescent="0.2">
      <c r="A7" s="1" t="s">
        <v>12</v>
      </c>
      <c r="C7" s="1">
        <v>28</v>
      </c>
      <c r="D7" s="1">
        <v>29</v>
      </c>
      <c r="E7" s="1">
        <v>30</v>
      </c>
      <c r="F7" s="1">
        <v>31</v>
      </c>
    </row>
    <row r="8" spans="1:12" x14ac:dyDescent="0.2">
      <c r="A8" s="1" t="s">
        <v>11</v>
      </c>
      <c r="C8" s="1">
        <v>7.5</v>
      </c>
      <c r="D8" s="1">
        <v>8</v>
      </c>
      <c r="E8" s="1">
        <v>8.5</v>
      </c>
      <c r="F8" s="1">
        <v>9</v>
      </c>
    </row>
    <row r="10" spans="1:12" x14ac:dyDescent="0.2">
      <c r="A10" s="1" t="s">
        <v>14</v>
      </c>
      <c r="C10" s="7">
        <f>C6*(C7+C8+1)*2*2.54*2.54/10000*C3</f>
        <v>122.9223348</v>
      </c>
      <c r="D10" s="7">
        <f t="shared" ref="D10:F10" si="0">D6*(D7+D8+1)*2*2.54*2.54/10000*D3</f>
        <v>142.193264</v>
      </c>
      <c r="E10" s="7">
        <f t="shared" si="0"/>
        <v>162.58677159999999</v>
      </c>
      <c r="F10" s="7">
        <f t="shared" si="0"/>
        <v>184.10285760000002</v>
      </c>
      <c r="G10" s="7"/>
      <c r="H10" s="7"/>
      <c r="I10" s="7"/>
      <c r="J10" s="7"/>
      <c r="K10" s="7"/>
      <c r="L10" s="7"/>
    </row>
    <row r="11" spans="1:12" x14ac:dyDescent="0.2">
      <c r="A11" s="1" t="s">
        <v>21</v>
      </c>
      <c r="C11" s="7">
        <v>6</v>
      </c>
      <c r="D11" s="7">
        <v>6</v>
      </c>
      <c r="E11" s="7">
        <v>6</v>
      </c>
      <c r="F11" s="7">
        <v>6</v>
      </c>
      <c r="G11" s="7"/>
      <c r="H11" s="7"/>
      <c r="I11" s="7"/>
      <c r="J11" s="7"/>
      <c r="K11" s="7"/>
      <c r="L11" s="7"/>
    </row>
    <row r="12" spans="1:12" x14ac:dyDescent="0.2">
      <c r="A12" s="1" t="s">
        <v>13</v>
      </c>
      <c r="C12" s="7">
        <v>6</v>
      </c>
      <c r="D12" s="7">
        <v>6</v>
      </c>
      <c r="E12" s="7">
        <v>6</v>
      </c>
      <c r="F12" s="7">
        <v>6</v>
      </c>
      <c r="G12" s="7"/>
      <c r="H12" s="7"/>
      <c r="I12" s="7"/>
      <c r="J12" s="7"/>
      <c r="K12" s="7"/>
      <c r="L12" s="7"/>
    </row>
    <row r="14" spans="1:12" x14ac:dyDescent="0.2">
      <c r="A14" s="1" t="s">
        <v>15</v>
      </c>
      <c r="C14" s="7">
        <f t="shared" ref="C14" si="1">SUM(C10:C13)</f>
        <v>134.92233479999999</v>
      </c>
      <c r="D14" s="7">
        <f t="shared" ref="D14:F14" si="2">SUM(D10:D13)</f>
        <v>154.193264</v>
      </c>
      <c r="E14" s="7">
        <f t="shared" si="2"/>
        <v>174.58677159999999</v>
      </c>
      <c r="F14" s="7">
        <f t="shared" si="2"/>
        <v>196.10285760000002</v>
      </c>
      <c r="G14" s="7">
        <f>G16/G15</f>
        <v>164.76421059999998</v>
      </c>
      <c r="H14" s="7"/>
      <c r="I14" s="7"/>
      <c r="J14" s="7"/>
      <c r="K14" s="7"/>
      <c r="L14" s="7"/>
    </row>
    <row r="15" spans="1:12" x14ac:dyDescent="0.2">
      <c r="A15" s="1" t="s">
        <v>46</v>
      </c>
      <c r="C15" s="7">
        <v>1</v>
      </c>
      <c r="D15" s="7">
        <v>2</v>
      </c>
      <c r="E15" s="7">
        <v>2</v>
      </c>
      <c r="F15" s="7">
        <v>1</v>
      </c>
      <c r="G15" s="7">
        <f>SUM(C15:F15)</f>
        <v>6</v>
      </c>
      <c r="H15" s="7"/>
      <c r="I15" s="7"/>
      <c r="J15" s="7"/>
      <c r="K15" s="7"/>
      <c r="L15" s="7"/>
    </row>
    <row r="16" spans="1:12" x14ac:dyDescent="0.2">
      <c r="C16" s="7">
        <f>C14*C15</f>
        <v>134.92233479999999</v>
      </c>
      <c r="D16" s="7">
        <f t="shared" ref="D16:F16" si="3">D14*D15</f>
        <v>308.386528</v>
      </c>
      <c r="E16" s="7">
        <f t="shared" si="3"/>
        <v>349.17354319999998</v>
      </c>
      <c r="F16" s="7">
        <f t="shared" si="3"/>
        <v>196.10285760000002</v>
      </c>
      <c r="G16" s="7">
        <f>SUM(C16:F16)</f>
        <v>988.58526359999996</v>
      </c>
      <c r="H16" s="7"/>
      <c r="I16" s="7"/>
      <c r="J16" s="7"/>
      <c r="K16" s="7"/>
      <c r="L16" s="7"/>
    </row>
    <row r="17" spans="1:12" x14ac:dyDescent="0.2">
      <c r="C17" s="7"/>
      <c r="D17" s="7"/>
      <c r="E17" s="7"/>
      <c r="F17" s="7"/>
      <c r="G17" s="7"/>
      <c r="H17" s="7"/>
      <c r="I17" s="7"/>
      <c r="J17" s="7"/>
      <c r="K17" s="7"/>
      <c r="L17" s="7"/>
    </row>
    <row r="18" spans="1:12" x14ac:dyDescent="0.2">
      <c r="A18" s="1" t="s">
        <v>47</v>
      </c>
      <c r="C18" s="7">
        <f>165</f>
        <v>165</v>
      </c>
      <c r="D18" s="7"/>
      <c r="E18" s="7"/>
      <c r="F18" s="7"/>
      <c r="G18" s="7"/>
      <c r="H18" s="7"/>
      <c r="I18" s="7"/>
      <c r="J18" s="7"/>
      <c r="K18" s="7"/>
      <c r="L18" s="7"/>
    </row>
    <row r="20" spans="1:12" x14ac:dyDescent="0.2">
      <c r="A20" s="1" t="s">
        <v>16</v>
      </c>
      <c r="C20" s="7">
        <v>230</v>
      </c>
      <c r="D20" s="7"/>
      <c r="E20" s="7"/>
      <c r="F20" s="7"/>
      <c r="G20" s="7"/>
      <c r="H20" s="7"/>
      <c r="I20" s="7"/>
      <c r="J20" s="7"/>
      <c r="K20" s="7"/>
      <c r="L20" s="7"/>
    </row>
    <row r="21" spans="1:12" x14ac:dyDescent="0.2">
      <c r="A21" s="1" t="s">
        <v>7</v>
      </c>
      <c r="C21" s="7">
        <v>10</v>
      </c>
      <c r="D21" s="7"/>
      <c r="E21" s="7"/>
      <c r="F21" s="7"/>
      <c r="G21" s="7"/>
      <c r="H21" s="7"/>
      <c r="I21" s="7"/>
      <c r="J21" s="7"/>
      <c r="K21" s="7"/>
      <c r="L21" s="7"/>
    </row>
    <row r="22" spans="1:12" x14ac:dyDescent="0.2">
      <c r="A22" s="1" t="s">
        <v>49</v>
      </c>
      <c r="C22" s="7">
        <v>70</v>
      </c>
      <c r="D22" s="7"/>
      <c r="E22" s="7"/>
      <c r="F22" s="7"/>
      <c r="G22" s="7"/>
      <c r="H22" s="7"/>
      <c r="I22" s="7"/>
      <c r="J22" s="7"/>
      <c r="K22" s="7"/>
      <c r="L22" s="7"/>
    </row>
    <row r="23" spans="1:12" x14ac:dyDescent="0.2">
      <c r="A23" s="1" t="s">
        <v>8</v>
      </c>
      <c r="C23" s="7">
        <v>5</v>
      </c>
      <c r="D23" s="7"/>
      <c r="E23" s="7"/>
      <c r="F23" s="7"/>
      <c r="G23" s="7"/>
      <c r="H23" s="7"/>
      <c r="I23" s="7"/>
      <c r="J23" s="7"/>
      <c r="K23" s="7"/>
      <c r="L23" s="7"/>
    </row>
    <row r="24" spans="1:12" x14ac:dyDescent="0.2">
      <c r="C24" s="7"/>
      <c r="D24" s="7"/>
      <c r="E24" s="7"/>
      <c r="F24" s="7"/>
      <c r="G24" s="7"/>
      <c r="H24" s="7"/>
      <c r="I24" s="7"/>
      <c r="J24" s="7"/>
      <c r="K24" s="7"/>
      <c r="L24" s="7"/>
    </row>
    <row r="25" spans="1:12" x14ac:dyDescent="0.2">
      <c r="A25" s="1" t="s">
        <v>2</v>
      </c>
      <c r="C25" s="7">
        <f>SUM(C20:C24)</f>
        <v>315</v>
      </c>
      <c r="D25" s="7"/>
      <c r="E25" s="7"/>
      <c r="F25" s="7"/>
      <c r="G25" s="7"/>
      <c r="H25" s="7"/>
      <c r="I25" s="7"/>
      <c r="J25" s="7"/>
      <c r="K25" s="7"/>
      <c r="L25" s="7"/>
    </row>
    <row r="26" spans="1:12" x14ac:dyDescent="0.2">
      <c r="A26" s="1" t="s">
        <v>45</v>
      </c>
      <c r="C26" s="7">
        <f>C25*6%</f>
        <v>18.899999999999999</v>
      </c>
      <c r="D26" s="7"/>
      <c r="E26" s="7"/>
      <c r="F26" s="7"/>
      <c r="G26" s="7"/>
      <c r="H26" s="7"/>
      <c r="I26" s="7"/>
      <c r="J26" s="7"/>
      <c r="K26" s="7"/>
      <c r="L26" s="7"/>
    </row>
    <row r="27" spans="1:12" x14ac:dyDescent="0.2">
      <c r="C27" s="7"/>
      <c r="D27" s="7"/>
      <c r="E27" s="7"/>
      <c r="F27" s="7"/>
      <c r="G27" s="7"/>
      <c r="H27" s="7"/>
      <c r="I27" s="7"/>
      <c r="J27" s="7"/>
      <c r="K27" s="7"/>
      <c r="L27" s="7"/>
    </row>
    <row r="28" spans="1:12" s="8" customFormat="1" x14ac:dyDescent="0.2">
      <c r="A28" s="8" t="s">
        <v>3</v>
      </c>
      <c r="C28" s="7">
        <f t="shared" ref="C28" si="4">SUM(C25:C27)</f>
        <v>333.9</v>
      </c>
      <c r="D28" s="7"/>
      <c r="E28" s="7"/>
      <c r="F28" s="7"/>
      <c r="G28" s="7"/>
      <c r="H28" s="7"/>
      <c r="I28" s="7"/>
      <c r="J28" s="7"/>
      <c r="K28" s="7"/>
      <c r="L28" s="7"/>
    </row>
    <row r="29" spans="1:12" x14ac:dyDescent="0.2">
      <c r="C29" s="7"/>
      <c r="D29" s="7"/>
      <c r="E29" s="7"/>
      <c r="F29" s="7"/>
      <c r="G29" s="7"/>
      <c r="H29" s="7"/>
      <c r="I29" s="7"/>
      <c r="J29" s="7"/>
      <c r="K29" s="7"/>
      <c r="L29" s="7"/>
    </row>
    <row r="30" spans="1:12" x14ac:dyDescent="0.2">
      <c r="A30" s="1" t="s">
        <v>4</v>
      </c>
      <c r="C30" s="2">
        <f>C28*C18/1000</f>
        <v>55.093499999999992</v>
      </c>
      <c r="D30" s="2"/>
      <c r="E30" s="2"/>
      <c r="F30" s="2"/>
      <c r="G30" s="2"/>
      <c r="H30" s="2"/>
      <c r="I30" s="2"/>
      <c r="J30" s="2"/>
      <c r="K30" s="2"/>
      <c r="L30" s="2"/>
    </row>
    <row r="31" spans="1:12" x14ac:dyDescent="0.2">
      <c r="A31" s="1" t="s">
        <v>5</v>
      </c>
      <c r="C31" s="2">
        <v>10.55</v>
      </c>
      <c r="D31" s="2"/>
      <c r="E31" s="2"/>
      <c r="F31" s="2"/>
      <c r="G31" s="2"/>
      <c r="H31" s="2"/>
      <c r="I31" s="2"/>
      <c r="J31" s="2"/>
      <c r="K31" s="2"/>
      <c r="L31" s="2"/>
    </row>
    <row r="32" spans="1:12" x14ac:dyDescent="0.2">
      <c r="A32" s="1" t="s">
        <v>22</v>
      </c>
      <c r="C32" s="2">
        <v>0.45</v>
      </c>
      <c r="D32" s="2"/>
      <c r="E32" s="2"/>
      <c r="F32" s="2"/>
      <c r="G32" s="2"/>
      <c r="H32" s="2"/>
      <c r="I32" s="2"/>
      <c r="J32" s="2"/>
      <c r="K32" s="2"/>
      <c r="L32" s="2"/>
    </row>
    <row r="33" spans="1:12" x14ac:dyDescent="0.2">
      <c r="A33" s="1" t="s">
        <v>17</v>
      </c>
      <c r="C33" s="2">
        <v>0.4</v>
      </c>
      <c r="D33" s="2"/>
      <c r="E33" s="2"/>
      <c r="F33" s="2"/>
      <c r="G33" s="2"/>
      <c r="H33" s="2"/>
      <c r="I33" s="2"/>
      <c r="J33" s="2"/>
      <c r="K33" s="2"/>
      <c r="L33" s="2"/>
    </row>
    <row r="34" spans="1:12" x14ac:dyDescent="0.2">
      <c r="A34" s="1" t="s">
        <v>18</v>
      </c>
      <c r="C34" s="2">
        <v>1</v>
      </c>
      <c r="D34" s="2"/>
      <c r="E34" s="2"/>
      <c r="F34" s="2"/>
      <c r="G34" s="2"/>
      <c r="H34" s="2"/>
      <c r="I34" s="2"/>
      <c r="J34" s="2"/>
      <c r="K34" s="2"/>
      <c r="L34" s="2"/>
    </row>
    <row r="35" spans="1:12" x14ac:dyDescent="0.2">
      <c r="A35" s="1" t="s">
        <v>9</v>
      </c>
      <c r="C35" s="2">
        <v>1</v>
      </c>
      <c r="D35" s="2"/>
      <c r="E35" s="2"/>
      <c r="F35" s="2"/>
      <c r="G35" s="2"/>
      <c r="H35" s="2"/>
      <c r="I35" s="2"/>
      <c r="J35" s="2"/>
      <c r="K35" s="2"/>
      <c r="L35" s="2"/>
    </row>
    <row r="36" spans="1:12" x14ac:dyDescent="0.2">
      <c r="A36" s="1" t="s">
        <v>20</v>
      </c>
      <c r="C36" s="2">
        <v>1.5</v>
      </c>
      <c r="D36" s="2"/>
      <c r="E36" s="2"/>
      <c r="F36" s="2"/>
      <c r="G36" s="2"/>
      <c r="H36" s="2"/>
      <c r="I36" s="2"/>
      <c r="J36" s="2"/>
      <c r="K36" s="2"/>
      <c r="L36" s="2"/>
    </row>
    <row r="37" spans="1:12" x14ac:dyDescent="0.2">
      <c r="C37" s="2"/>
      <c r="D37" s="2"/>
      <c r="E37" s="2"/>
      <c r="F37" s="2"/>
      <c r="G37" s="2"/>
      <c r="H37" s="2"/>
      <c r="I37" s="2"/>
      <c r="J37" s="2"/>
      <c r="K37" s="2"/>
      <c r="L37" s="2"/>
    </row>
    <row r="38" spans="1:12" x14ac:dyDescent="0.2">
      <c r="A38" s="1" t="s">
        <v>2</v>
      </c>
      <c r="C38" s="2">
        <f>SUM(C30:C37)</f>
        <v>69.993499999999997</v>
      </c>
      <c r="D38" s="2"/>
      <c r="E38" s="2"/>
      <c r="F38" s="2"/>
      <c r="G38" s="2"/>
      <c r="H38" s="2"/>
      <c r="I38" s="2"/>
      <c r="J38" s="2"/>
      <c r="K38" s="2"/>
      <c r="L38" s="2"/>
    </row>
    <row r="39" spans="1:12" x14ac:dyDescent="0.2">
      <c r="A39" s="1" t="s">
        <v>19</v>
      </c>
      <c r="C39" s="2">
        <f t="shared" ref="C39" si="5">C38*1%</f>
        <v>0.69993499999999997</v>
      </c>
      <c r="D39" s="2"/>
      <c r="E39" s="2"/>
      <c r="F39" s="2"/>
      <c r="G39" s="2"/>
      <c r="H39" s="2"/>
      <c r="I39" s="2"/>
      <c r="J39" s="2"/>
      <c r="K39" s="2"/>
      <c r="L39" s="2"/>
    </row>
    <row r="40" spans="1:12" x14ac:dyDescent="0.2">
      <c r="C40" s="2"/>
      <c r="D40" s="2"/>
      <c r="E40" s="2"/>
      <c r="F40" s="2"/>
      <c r="G40" s="2"/>
      <c r="H40" s="2"/>
      <c r="I40" s="2"/>
      <c r="J40" s="2"/>
      <c r="K40" s="2"/>
      <c r="L40" s="2"/>
    </row>
    <row r="41" spans="1:12" x14ac:dyDescent="0.2">
      <c r="A41" s="1" t="s">
        <v>2</v>
      </c>
      <c r="C41" s="2">
        <f t="shared" ref="C41" si="6">SUM(C38:C40)</f>
        <v>70.693434999999994</v>
      </c>
      <c r="D41" s="2"/>
      <c r="E41" s="2"/>
      <c r="F41" s="2"/>
      <c r="G41" s="2"/>
      <c r="H41" s="2"/>
      <c r="I41" s="2"/>
      <c r="J41" s="2"/>
      <c r="K41" s="2"/>
      <c r="L41" s="2"/>
    </row>
    <row r="42" spans="1:12" x14ac:dyDescent="0.2">
      <c r="A42" s="1" t="s">
        <v>42</v>
      </c>
      <c r="C42" s="2">
        <f>C41*20%</f>
        <v>14.138686999999999</v>
      </c>
      <c r="D42" s="2"/>
      <c r="E42" s="2"/>
      <c r="F42" s="2"/>
      <c r="G42" s="2"/>
      <c r="H42" s="2"/>
      <c r="I42" s="2"/>
      <c r="J42" s="2"/>
      <c r="K42" s="2"/>
      <c r="L42" s="2"/>
    </row>
    <row r="43" spans="1:12" x14ac:dyDescent="0.2">
      <c r="C43" s="2"/>
      <c r="D43" s="2"/>
      <c r="E43" s="2"/>
      <c r="F43" s="2"/>
      <c r="G43" s="2"/>
      <c r="H43" s="2"/>
      <c r="I43" s="2"/>
      <c r="J43" s="2"/>
      <c r="K43" s="2"/>
      <c r="L43" s="2"/>
    </row>
    <row r="44" spans="1:12" x14ac:dyDescent="0.2">
      <c r="A44" s="1" t="s">
        <v>6</v>
      </c>
      <c r="C44" s="2">
        <f t="shared" ref="C44" si="7">SUM(C41:C43)</f>
        <v>84.832121999999998</v>
      </c>
      <c r="D44" s="2"/>
      <c r="E44" s="2"/>
      <c r="F44" s="2"/>
      <c r="G44" s="2"/>
      <c r="H44" s="2"/>
      <c r="I44" s="2"/>
      <c r="J44" s="2"/>
      <c r="K44" s="2"/>
      <c r="L44" s="2"/>
    </row>
    <row r="45" spans="1:12" x14ac:dyDescent="0.2">
      <c r="C45" s="2"/>
      <c r="D45" s="2"/>
      <c r="E45" s="2"/>
      <c r="F45" s="2"/>
      <c r="G45" s="2"/>
      <c r="H45" s="2"/>
      <c r="I45" s="2"/>
      <c r="J45" s="2"/>
      <c r="K45" s="2"/>
      <c r="L45" s="2"/>
    </row>
    <row r="46" spans="1:12" x14ac:dyDescent="0.2">
      <c r="A46" s="1" t="s">
        <v>48</v>
      </c>
      <c r="C46" s="2">
        <f>C44/90</f>
        <v>0.94257913333333332</v>
      </c>
      <c r="D46" s="2"/>
      <c r="E46" s="2"/>
      <c r="F46" s="2"/>
      <c r="G46" s="2"/>
      <c r="H46" s="2"/>
      <c r="I46" s="2"/>
      <c r="J46" s="2"/>
      <c r="K46" s="2"/>
      <c r="L46" s="2"/>
    </row>
    <row r="47" spans="1:12" x14ac:dyDescent="0.2">
      <c r="C47" s="2"/>
      <c r="D47" s="2"/>
      <c r="E47" s="2"/>
      <c r="F47" s="2"/>
      <c r="G47" s="2"/>
      <c r="H47" s="2"/>
      <c r="I47" s="2"/>
      <c r="J47" s="2"/>
      <c r="K47" s="2"/>
      <c r="L47" s="2"/>
    </row>
    <row r="48" spans="1:12" x14ac:dyDescent="0.2">
      <c r="C48" s="2"/>
      <c r="D48" s="2"/>
      <c r="E48" s="2"/>
      <c r="F48" s="2"/>
      <c r="G48" s="2"/>
      <c r="H48" s="2"/>
      <c r="I48" s="2"/>
      <c r="J48" s="2"/>
      <c r="K48" s="2"/>
      <c r="L48" s="2"/>
    </row>
    <row r="49" spans="3:12" x14ac:dyDescent="0.2">
      <c r="C49" s="2"/>
      <c r="D49" s="2"/>
      <c r="E49" s="2"/>
      <c r="F49" s="2"/>
      <c r="G49" s="2"/>
      <c r="H49" s="2"/>
      <c r="I49" s="2"/>
      <c r="J49" s="2"/>
      <c r="K49" s="2"/>
      <c r="L49" s="2"/>
    </row>
    <row r="50" spans="3:12" x14ac:dyDescent="0.2">
      <c r="C50" s="2"/>
      <c r="D50" s="2"/>
      <c r="E50" s="2"/>
      <c r="F50" s="2"/>
    </row>
    <row r="51" spans="3:12" s="6" customFormat="1" x14ac:dyDescent="0.2">
      <c r="C51" s="5"/>
      <c r="D51" s="5"/>
      <c r="E51" s="5"/>
      <c r="F51" s="5"/>
      <c r="G51" s="5"/>
      <c r="H51" s="5"/>
      <c r="I51" s="5"/>
      <c r="J51" s="5"/>
    </row>
    <row r="52" spans="3:12" x14ac:dyDescent="0.2">
      <c r="C52" s="2"/>
      <c r="D52" s="2"/>
      <c r="E52" s="2"/>
      <c r="F52" s="2"/>
    </row>
    <row r="53" spans="3:12" x14ac:dyDescent="0.2">
      <c r="C53" s="2"/>
      <c r="D53" s="2"/>
      <c r="E53" s="2"/>
      <c r="F53" s="2"/>
    </row>
    <row r="54" spans="3:12" x14ac:dyDescent="0.2">
      <c r="C54" s="2"/>
      <c r="D54" s="2"/>
      <c r="E54" s="2"/>
      <c r="F54" s="2"/>
    </row>
    <row r="55" spans="3:12" x14ac:dyDescent="0.2">
      <c r="C55" s="2"/>
      <c r="D55" s="2"/>
      <c r="E55" s="2"/>
      <c r="F55" s="2"/>
    </row>
    <row r="56" spans="3:12" x14ac:dyDescent="0.2">
      <c r="C56" s="2"/>
      <c r="D56" s="2"/>
      <c r="E56" s="2"/>
      <c r="F56" s="2"/>
    </row>
    <row r="57" spans="3:12" x14ac:dyDescent="0.2">
      <c r="C57" s="2"/>
      <c r="D57" s="2"/>
      <c r="E57" s="2"/>
      <c r="F57" s="2"/>
    </row>
    <row r="58" spans="3:12" x14ac:dyDescent="0.2">
      <c r="C58" s="2"/>
      <c r="D58" s="2"/>
      <c r="E58" s="2"/>
      <c r="F58" s="2"/>
    </row>
    <row r="59" spans="3:12" x14ac:dyDescent="0.2">
      <c r="C59" s="2"/>
      <c r="D59" s="2"/>
      <c r="E59" s="2"/>
      <c r="F59" s="2"/>
    </row>
    <row r="60" spans="3:12" x14ac:dyDescent="0.2">
      <c r="C60" s="2"/>
      <c r="D60" s="2"/>
      <c r="E60" s="2"/>
      <c r="F60" s="2"/>
    </row>
    <row r="61" spans="3:12" x14ac:dyDescent="0.2">
      <c r="C61" s="2"/>
      <c r="D61" s="2"/>
    </row>
    <row r="62" spans="3:12" x14ac:dyDescent="0.2">
      <c r="C62" s="2"/>
      <c r="D62" s="2"/>
    </row>
    <row r="63" spans="3:12" x14ac:dyDescent="0.2">
      <c r="C63" s="2"/>
      <c r="D63" s="2"/>
    </row>
    <row r="64" spans="3:12" x14ac:dyDescent="0.2">
      <c r="C64" s="2"/>
      <c r="D64" s="2"/>
    </row>
    <row r="65" spans="3:4" x14ac:dyDescent="0.2">
      <c r="C65" s="2"/>
      <c r="D65" s="2"/>
    </row>
    <row r="66" spans="3:4" x14ac:dyDescent="0.2">
      <c r="C66" s="2"/>
      <c r="D66" s="2"/>
    </row>
    <row r="67" spans="3:4" x14ac:dyDescent="0.2">
      <c r="C67" s="2"/>
      <c r="D67" s="2"/>
    </row>
    <row r="68" spans="3:4" x14ac:dyDescent="0.2">
      <c r="C68" s="2"/>
      <c r="D68" s="2"/>
    </row>
    <row r="69" spans="3:4" x14ac:dyDescent="0.2">
      <c r="C69" s="2"/>
      <c r="D69" s="2"/>
    </row>
    <row r="70" spans="3:4" x14ac:dyDescent="0.2">
      <c r="C70" s="10"/>
      <c r="D70" s="10"/>
    </row>
    <row r="71" spans="3:4" x14ac:dyDescent="0.2">
      <c r="C71" s="2"/>
      <c r="D71" s="2"/>
    </row>
    <row r="72" spans="3:4" x14ac:dyDescent="0.2">
      <c r="C72" s="10"/>
      <c r="D72" s="10"/>
    </row>
    <row r="73" spans="3:4" x14ac:dyDescent="0.2">
      <c r="C73" s="2"/>
      <c r="D73" s="2"/>
    </row>
    <row r="74" spans="3:4" x14ac:dyDescent="0.2">
      <c r="C74" s="10"/>
      <c r="D74" s="10"/>
    </row>
    <row r="75" spans="3:4" x14ac:dyDescent="0.2">
      <c r="C75" s="2"/>
      <c r="D75" s="2"/>
    </row>
    <row r="76" spans="3:4" x14ac:dyDescent="0.2">
      <c r="C76" s="2"/>
      <c r="D76" s="2"/>
    </row>
  </sheetData>
  <pageMargins left="0.39370078740157483" right="0.39370078740157483" top="0.39370078740157483" bottom="0.39370078740157483" header="0.39370078740157483" footer="0.39370078740157483"/>
  <pageSetup paperSize="9" scale="74" orientation="portrait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782361-8F95-4649-BA4C-AE2D8703E25B}">
  <sheetPr>
    <pageSetUpPr fitToPage="1"/>
  </sheetPr>
  <dimension ref="A1:L73"/>
  <sheetViews>
    <sheetView zoomScaleNormal="100" workbookViewId="0">
      <selection activeCell="C3" sqref="C3"/>
    </sheetView>
  </sheetViews>
  <sheetFormatPr defaultColWidth="9.14453125" defaultRowHeight="15" x14ac:dyDescent="0.2"/>
  <cols>
    <col min="1" max="1" width="18.16015625" style="1" bestFit="1" customWidth="1"/>
    <col min="2" max="2" width="5.6484375" style="1" customWidth="1"/>
    <col min="3" max="10" width="17.21875" style="1" bestFit="1" customWidth="1"/>
    <col min="11" max="12" width="13.85546875" style="1" bestFit="1" customWidth="1"/>
    <col min="13" max="16384" width="9.14453125" style="1"/>
  </cols>
  <sheetData>
    <row r="1" spans="1:12" ht="30" customHeight="1" x14ac:dyDescent="0.2">
      <c r="A1" s="1" t="s">
        <v>28</v>
      </c>
      <c r="C1" s="9" t="s">
        <v>30</v>
      </c>
      <c r="D1" s="9" t="s">
        <v>30</v>
      </c>
      <c r="E1" s="9" t="s">
        <v>30</v>
      </c>
      <c r="F1" s="9" t="s">
        <v>30</v>
      </c>
      <c r="G1" s="9" t="s">
        <v>30</v>
      </c>
      <c r="H1" s="9" t="s">
        <v>30</v>
      </c>
      <c r="I1" s="9" t="s">
        <v>30</v>
      </c>
      <c r="J1" s="9" t="s">
        <v>30</v>
      </c>
      <c r="K1" s="9"/>
      <c r="L1" s="9"/>
    </row>
    <row r="2" spans="1:12" x14ac:dyDescent="0.2">
      <c r="A2" s="1" t="s">
        <v>0</v>
      </c>
      <c r="C2" s="1" t="s">
        <v>43</v>
      </c>
      <c r="D2" s="1" t="s">
        <v>43</v>
      </c>
      <c r="E2" s="1" t="s">
        <v>43</v>
      </c>
      <c r="F2" s="1" t="s">
        <v>43</v>
      </c>
      <c r="G2" s="1" t="s">
        <v>43</v>
      </c>
      <c r="H2" s="1" t="s">
        <v>43</v>
      </c>
      <c r="I2" s="1" t="s">
        <v>43</v>
      </c>
      <c r="J2" s="1" t="s">
        <v>43</v>
      </c>
    </row>
    <row r="3" spans="1:12" x14ac:dyDescent="0.2">
      <c r="A3" s="1" t="s">
        <v>1</v>
      </c>
      <c r="C3" s="1">
        <v>175</v>
      </c>
      <c r="D3" s="1">
        <v>175</v>
      </c>
      <c r="E3" s="1">
        <v>175</v>
      </c>
      <c r="F3" s="1">
        <v>175</v>
      </c>
      <c r="G3" s="1">
        <v>175</v>
      </c>
      <c r="H3" s="1">
        <v>175</v>
      </c>
      <c r="I3" s="1">
        <v>175</v>
      </c>
      <c r="J3" s="1">
        <v>175</v>
      </c>
    </row>
    <row r="4" spans="1:12" x14ac:dyDescent="0.2">
      <c r="C4" s="1" t="s">
        <v>23</v>
      </c>
      <c r="D4" s="1" t="s">
        <v>24</v>
      </c>
      <c r="E4" s="1" t="s">
        <v>25</v>
      </c>
      <c r="F4" s="1" t="s">
        <v>26</v>
      </c>
      <c r="G4" s="1" t="s">
        <v>27</v>
      </c>
      <c r="H4" s="1" t="s">
        <v>33</v>
      </c>
      <c r="I4" s="1" t="s">
        <v>34</v>
      </c>
      <c r="J4" s="1" t="s">
        <v>35</v>
      </c>
    </row>
    <row r="6" spans="1:12" x14ac:dyDescent="0.2">
      <c r="A6" s="1" t="s">
        <v>10</v>
      </c>
      <c r="C6" s="1">
        <v>18</v>
      </c>
      <c r="D6" s="1">
        <v>20</v>
      </c>
      <c r="E6" s="1">
        <v>22</v>
      </c>
      <c r="F6" s="1">
        <v>24</v>
      </c>
      <c r="G6" s="1">
        <v>26</v>
      </c>
      <c r="H6" s="1">
        <v>28</v>
      </c>
      <c r="I6" s="1">
        <v>30</v>
      </c>
      <c r="J6" s="1">
        <v>32</v>
      </c>
    </row>
    <row r="7" spans="1:12" x14ac:dyDescent="0.2">
      <c r="A7" s="1" t="s">
        <v>12</v>
      </c>
      <c r="C7" s="1">
        <v>27</v>
      </c>
      <c r="D7" s="1">
        <v>28</v>
      </c>
      <c r="E7" s="1">
        <v>29</v>
      </c>
      <c r="F7" s="1">
        <v>30</v>
      </c>
      <c r="G7" s="1">
        <v>32</v>
      </c>
      <c r="H7" s="1">
        <v>33</v>
      </c>
      <c r="I7" s="1">
        <v>34</v>
      </c>
      <c r="J7" s="1">
        <v>35</v>
      </c>
    </row>
    <row r="8" spans="1:12" x14ac:dyDescent="0.2">
      <c r="A8" s="1" t="s">
        <v>11</v>
      </c>
      <c r="C8" s="1">
        <v>8</v>
      </c>
      <c r="D8" s="1">
        <v>8.5</v>
      </c>
      <c r="E8" s="1">
        <v>9</v>
      </c>
      <c r="F8" s="1">
        <v>9.5</v>
      </c>
      <c r="G8" s="1">
        <v>10</v>
      </c>
      <c r="H8" s="1">
        <v>10.5</v>
      </c>
      <c r="I8" s="1">
        <v>11</v>
      </c>
      <c r="J8" s="1">
        <v>11.5</v>
      </c>
    </row>
    <row r="10" spans="1:12" x14ac:dyDescent="0.2">
      <c r="A10" s="1" t="s">
        <v>14</v>
      </c>
      <c r="C10" s="7">
        <f>C6*(C7+C8+1)*2*2.54*2.54/10000*C3</f>
        <v>146.32228800000001</v>
      </c>
      <c r="D10" s="7">
        <f t="shared" ref="D10:J10" si="0">D6*(D7+D8+1)*2*2.54*2.54/10000*D3</f>
        <v>169.3545</v>
      </c>
      <c r="E10" s="7">
        <f t="shared" si="0"/>
        <v>193.74154800000002</v>
      </c>
      <c r="F10" s="7">
        <f t="shared" si="0"/>
        <v>219.48343199999999</v>
      </c>
      <c r="G10" s="7">
        <f t="shared" si="0"/>
        <v>252.451108</v>
      </c>
      <c r="H10" s="7">
        <f t="shared" si="0"/>
        <v>281.35427600000003</v>
      </c>
      <c r="I10" s="7">
        <f t="shared" si="0"/>
        <v>311.61228</v>
      </c>
      <c r="J10" s="7">
        <f t="shared" si="0"/>
        <v>343.22512</v>
      </c>
      <c r="K10" s="7"/>
      <c r="L10" s="7"/>
    </row>
    <row r="11" spans="1:12" x14ac:dyDescent="0.2">
      <c r="A11" s="1" t="s">
        <v>21</v>
      </c>
      <c r="C11" s="7">
        <v>6</v>
      </c>
      <c r="D11" s="7">
        <v>6</v>
      </c>
      <c r="E11" s="7">
        <v>6</v>
      </c>
      <c r="F11" s="7">
        <v>6</v>
      </c>
      <c r="G11" s="7">
        <v>6</v>
      </c>
      <c r="H11" s="7">
        <v>6</v>
      </c>
      <c r="I11" s="7">
        <v>6</v>
      </c>
      <c r="J11" s="7">
        <v>6</v>
      </c>
      <c r="K11" s="7"/>
      <c r="L11" s="7"/>
    </row>
    <row r="12" spans="1:12" x14ac:dyDescent="0.2">
      <c r="A12" s="1" t="s">
        <v>13</v>
      </c>
      <c r="C12" s="7">
        <v>6</v>
      </c>
      <c r="D12" s="7">
        <v>6</v>
      </c>
      <c r="E12" s="7">
        <v>6</v>
      </c>
      <c r="F12" s="7">
        <v>6</v>
      </c>
      <c r="G12" s="7">
        <v>8</v>
      </c>
      <c r="H12" s="7">
        <v>8</v>
      </c>
      <c r="I12" s="7">
        <v>8</v>
      </c>
      <c r="J12" s="7">
        <v>8</v>
      </c>
      <c r="K12" s="7"/>
      <c r="L12" s="7"/>
    </row>
    <row r="14" spans="1:12" x14ac:dyDescent="0.2">
      <c r="A14" s="1" t="s">
        <v>15</v>
      </c>
      <c r="C14" s="7">
        <f t="shared" ref="C14:J14" si="1">SUM(C10:C13)</f>
        <v>158.32228800000001</v>
      </c>
      <c r="D14" s="7">
        <f t="shared" si="1"/>
        <v>181.3545</v>
      </c>
      <c r="E14" s="7">
        <f t="shared" si="1"/>
        <v>205.74154800000002</v>
      </c>
      <c r="F14" s="7">
        <f t="shared" si="1"/>
        <v>231.48343199999999</v>
      </c>
      <c r="G14" s="7">
        <f t="shared" si="1"/>
        <v>266.45110799999998</v>
      </c>
      <c r="H14" s="7">
        <f t="shared" si="1"/>
        <v>295.35427600000003</v>
      </c>
      <c r="I14" s="7">
        <f t="shared" si="1"/>
        <v>325.61228</v>
      </c>
      <c r="J14" s="7">
        <f t="shared" si="1"/>
        <v>357.22512</v>
      </c>
      <c r="K14" s="7"/>
      <c r="L14" s="7"/>
    </row>
    <row r="16" spans="1:12" x14ac:dyDescent="0.2">
      <c r="A16" s="1" t="s">
        <v>16</v>
      </c>
      <c r="C16" s="7">
        <v>272</v>
      </c>
      <c r="D16" s="7">
        <v>272</v>
      </c>
      <c r="E16" s="7">
        <v>272</v>
      </c>
      <c r="F16" s="7">
        <v>272</v>
      </c>
      <c r="G16" s="7">
        <v>272</v>
      </c>
      <c r="H16" s="7">
        <v>272</v>
      </c>
      <c r="I16" s="7">
        <v>272</v>
      </c>
      <c r="J16" s="7">
        <v>272</v>
      </c>
      <c r="K16" s="7"/>
      <c r="L16" s="7"/>
    </row>
    <row r="17" spans="1:12" x14ac:dyDescent="0.2">
      <c r="A17" s="1" t="s">
        <v>7</v>
      </c>
      <c r="C17" s="7">
        <v>10</v>
      </c>
      <c r="D17" s="7">
        <v>10</v>
      </c>
      <c r="E17" s="7">
        <v>10</v>
      </c>
      <c r="F17" s="7">
        <v>10</v>
      </c>
      <c r="G17" s="7">
        <v>10</v>
      </c>
      <c r="H17" s="7">
        <v>10</v>
      </c>
      <c r="I17" s="7">
        <v>10</v>
      </c>
      <c r="J17" s="7">
        <v>10</v>
      </c>
      <c r="K17" s="7"/>
      <c r="L17" s="7"/>
    </row>
    <row r="18" spans="1:12" x14ac:dyDescent="0.2">
      <c r="A18" s="1" t="s">
        <v>37</v>
      </c>
      <c r="C18" s="7">
        <v>40</v>
      </c>
      <c r="D18" s="7">
        <v>40</v>
      </c>
      <c r="E18" s="7">
        <v>40</v>
      </c>
      <c r="F18" s="7">
        <v>40</v>
      </c>
      <c r="G18" s="7">
        <v>40</v>
      </c>
      <c r="H18" s="7">
        <v>40</v>
      </c>
      <c r="I18" s="7">
        <v>40</v>
      </c>
      <c r="J18" s="7">
        <v>40</v>
      </c>
      <c r="K18" s="7"/>
      <c r="L18" s="7"/>
    </row>
    <row r="19" spans="1:12" x14ac:dyDescent="0.2">
      <c r="A19" s="1" t="s">
        <v>31</v>
      </c>
      <c r="C19" s="7">
        <v>10</v>
      </c>
      <c r="D19" s="7">
        <v>10</v>
      </c>
      <c r="E19" s="7">
        <v>10</v>
      </c>
      <c r="F19" s="7">
        <v>10</v>
      </c>
      <c r="G19" s="7">
        <v>10</v>
      </c>
      <c r="H19" s="7">
        <v>10</v>
      </c>
      <c r="I19" s="7">
        <v>10</v>
      </c>
      <c r="J19" s="7">
        <v>10</v>
      </c>
      <c r="K19" s="7"/>
      <c r="L19" s="7"/>
    </row>
    <row r="20" spans="1:12" x14ac:dyDescent="0.2">
      <c r="A20" s="1" t="s">
        <v>8</v>
      </c>
      <c r="C20" s="7">
        <v>5</v>
      </c>
      <c r="D20" s="7">
        <v>5</v>
      </c>
      <c r="E20" s="7">
        <v>5</v>
      </c>
      <c r="F20" s="7">
        <v>5</v>
      </c>
      <c r="G20" s="7">
        <v>5</v>
      </c>
      <c r="H20" s="7">
        <v>5</v>
      </c>
      <c r="I20" s="7">
        <v>5</v>
      </c>
      <c r="J20" s="7">
        <v>5</v>
      </c>
      <c r="K20" s="7"/>
      <c r="L20" s="7"/>
    </row>
    <row r="21" spans="1:12" x14ac:dyDescent="0.2">
      <c r="C21" s="7"/>
      <c r="D21" s="7"/>
      <c r="E21" s="7"/>
      <c r="F21" s="7"/>
      <c r="G21" s="7"/>
      <c r="H21" s="7"/>
      <c r="I21" s="7"/>
      <c r="J21" s="7"/>
      <c r="K21" s="7"/>
      <c r="L21" s="7"/>
    </row>
    <row r="22" spans="1:12" x14ac:dyDescent="0.2">
      <c r="A22" s="1" t="s">
        <v>2</v>
      </c>
      <c r="C22" s="7">
        <f t="shared" ref="C22:J22" si="2">SUM(C16:C21)</f>
        <v>337</v>
      </c>
      <c r="D22" s="7">
        <f t="shared" si="2"/>
        <v>337</v>
      </c>
      <c r="E22" s="7">
        <f t="shared" si="2"/>
        <v>337</v>
      </c>
      <c r="F22" s="7">
        <f t="shared" si="2"/>
        <v>337</v>
      </c>
      <c r="G22" s="7">
        <f t="shared" si="2"/>
        <v>337</v>
      </c>
      <c r="H22" s="7">
        <f t="shared" si="2"/>
        <v>337</v>
      </c>
      <c r="I22" s="7">
        <f t="shared" si="2"/>
        <v>337</v>
      </c>
      <c r="J22" s="7">
        <f t="shared" si="2"/>
        <v>337</v>
      </c>
      <c r="K22" s="7"/>
      <c r="L22" s="7"/>
    </row>
    <row r="23" spans="1:12" x14ac:dyDescent="0.2">
      <c r="A23" s="1" t="s">
        <v>32</v>
      </c>
      <c r="C23" s="7">
        <f>C22*6%</f>
        <v>20.22</v>
      </c>
      <c r="D23" s="7">
        <f t="shared" ref="D23:J23" si="3">D22*6%</f>
        <v>20.22</v>
      </c>
      <c r="E23" s="7">
        <f t="shared" si="3"/>
        <v>20.22</v>
      </c>
      <c r="F23" s="7">
        <f t="shared" si="3"/>
        <v>20.22</v>
      </c>
      <c r="G23" s="7">
        <f t="shared" si="3"/>
        <v>20.22</v>
      </c>
      <c r="H23" s="7">
        <f t="shared" si="3"/>
        <v>20.22</v>
      </c>
      <c r="I23" s="7">
        <f t="shared" si="3"/>
        <v>20.22</v>
      </c>
      <c r="J23" s="7">
        <f t="shared" si="3"/>
        <v>20.22</v>
      </c>
      <c r="K23" s="7"/>
      <c r="L23" s="7"/>
    </row>
    <row r="24" spans="1:12" x14ac:dyDescent="0.2">
      <c r="C24" s="7"/>
      <c r="D24" s="7"/>
      <c r="E24" s="7"/>
      <c r="F24" s="7"/>
      <c r="G24" s="7"/>
      <c r="H24" s="7"/>
      <c r="I24" s="7"/>
      <c r="J24" s="7"/>
      <c r="K24" s="7"/>
      <c r="L24" s="7"/>
    </row>
    <row r="25" spans="1:12" s="8" customFormat="1" x14ac:dyDescent="0.2">
      <c r="A25" s="8" t="s">
        <v>3</v>
      </c>
      <c r="C25" s="7">
        <f t="shared" ref="C25:J25" si="4">SUM(C22:C24)</f>
        <v>357.22</v>
      </c>
      <c r="D25" s="7">
        <f t="shared" si="4"/>
        <v>357.22</v>
      </c>
      <c r="E25" s="7">
        <f t="shared" si="4"/>
        <v>357.22</v>
      </c>
      <c r="F25" s="7">
        <f t="shared" si="4"/>
        <v>357.22</v>
      </c>
      <c r="G25" s="7">
        <f t="shared" si="4"/>
        <v>357.22</v>
      </c>
      <c r="H25" s="7">
        <f t="shared" si="4"/>
        <v>357.22</v>
      </c>
      <c r="I25" s="7">
        <f t="shared" si="4"/>
        <v>357.22</v>
      </c>
      <c r="J25" s="7">
        <f t="shared" si="4"/>
        <v>357.22</v>
      </c>
      <c r="K25" s="7"/>
      <c r="L25" s="7"/>
    </row>
    <row r="26" spans="1:12" x14ac:dyDescent="0.2">
      <c r="C26" s="7"/>
      <c r="D26" s="7"/>
      <c r="E26" s="7"/>
      <c r="F26" s="7"/>
      <c r="G26" s="7"/>
      <c r="H26" s="7"/>
      <c r="I26" s="7"/>
      <c r="J26" s="7"/>
      <c r="K26" s="7"/>
      <c r="L26" s="7"/>
    </row>
    <row r="27" spans="1:12" x14ac:dyDescent="0.2">
      <c r="A27" s="1" t="s">
        <v>4</v>
      </c>
      <c r="C27" s="2">
        <f>C25*C14/1000</f>
        <v>56.555887719360015</v>
      </c>
      <c r="D27" s="2">
        <f t="shared" ref="D27:J27" si="5">D25*D14/1000</f>
        <v>64.783454489999997</v>
      </c>
      <c r="E27" s="2">
        <f t="shared" si="5"/>
        <v>73.494995776560017</v>
      </c>
      <c r="F27" s="2">
        <f t="shared" si="5"/>
        <v>82.690511579040006</v>
      </c>
      <c r="G27" s="2">
        <f t="shared" si="5"/>
        <v>95.18166479976</v>
      </c>
      <c r="H27" s="2">
        <f t="shared" si="5"/>
        <v>105.50645447272001</v>
      </c>
      <c r="I27" s="2">
        <f t="shared" si="5"/>
        <v>116.31521866160001</v>
      </c>
      <c r="J27" s="2">
        <f t="shared" si="5"/>
        <v>127.6079573664</v>
      </c>
      <c r="K27" s="2"/>
      <c r="L27" s="2"/>
    </row>
    <row r="28" spans="1:12" x14ac:dyDescent="0.2">
      <c r="A28" s="1" t="s">
        <v>5</v>
      </c>
      <c r="C28" s="2">
        <v>12</v>
      </c>
      <c r="D28" s="2">
        <v>12</v>
      </c>
      <c r="E28" s="2">
        <v>12</v>
      </c>
      <c r="F28" s="2">
        <v>12</v>
      </c>
      <c r="G28" s="2">
        <v>12</v>
      </c>
      <c r="H28" s="2">
        <v>12</v>
      </c>
      <c r="I28" s="2">
        <v>12</v>
      </c>
      <c r="J28" s="2">
        <v>12</v>
      </c>
      <c r="K28" s="2"/>
      <c r="L28" s="2"/>
    </row>
    <row r="29" spans="1:12" x14ac:dyDescent="0.2">
      <c r="A29" s="1" t="s">
        <v>22</v>
      </c>
      <c r="C29" s="2">
        <v>0.45</v>
      </c>
      <c r="D29" s="2">
        <v>0.45</v>
      </c>
      <c r="E29" s="2">
        <v>0.45</v>
      </c>
      <c r="F29" s="2">
        <v>0.45</v>
      </c>
      <c r="G29" s="2">
        <v>0.45</v>
      </c>
      <c r="H29" s="2">
        <v>0.45</v>
      </c>
      <c r="I29" s="2">
        <v>0.45</v>
      </c>
      <c r="J29" s="2">
        <v>0.45</v>
      </c>
      <c r="K29" s="2"/>
      <c r="L29" s="2"/>
    </row>
    <row r="30" spans="1:12" x14ac:dyDescent="0.2">
      <c r="A30" s="1" t="s">
        <v>17</v>
      </c>
      <c r="C30" s="2">
        <v>0.4</v>
      </c>
      <c r="D30" s="2">
        <v>0.4</v>
      </c>
      <c r="E30" s="2">
        <v>0.4</v>
      </c>
      <c r="F30" s="2">
        <v>0.4</v>
      </c>
      <c r="G30" s="2">
        <v>0.4</v>
      </c>
      <c r="H30" s="2">
        <v>0.4</v>
      </c>
      <c r="I30" s="2">
        <v>0.4</v>
      </c>
      <c r="J30" s="2">
        <v>0.4</v>
      </c>
      <c r="K30" s="2"/>
      <c r="L30" s="2"/>
    </row>
    <row r="31" spans="1:12" x14ac:dyDescent="0.2">
      <c r="A31" s="1" t="s">
        <v>18</v>
      </c>
      <c r="C31" s="2">
        <v>1</v>
      </c>
      <c r="D31" s="2">
        <v>1</v>
      </c>
      <c r="E31" s="2">
        <v>1</v>
      </c>
      <c r="F31" s="2">
        <v>1</v>
      </c>
      <c r="G31" s="2">
        <v>1</v>
      </c>
      <c r="H31" s="2">
        <v>1</v>
      </c>
      <c r="I31" s="2">
        <v>1</v>
      </c>
      <c r="J31" s="2">
        <v>1</v>
      </c>
      <c r="K31" s="2"/>
      <c r="L31" s="2"/>
    </row>
    <row r="32" spans="1:12" x14ac:dyDescent="0.2">
      <c r="A32" s="1" t="s">
        <v>9</v>
      </c>
      <c r="C32" s="2">
        <v>1</v>
      </c>
      <c r="D32" s="2">
        <v>1</v>
      </c>
      <c r="E32" s="2">
        <v>1</v>
      </c>
      <c r="F32" s="2">
        <v>1</v>
      </c>
      <c r="G32" s="2">
        <v>1</v>
      </c>
      <c r="H32" s="2">
        <v>1</v>
      </c>
      <c r="I32" s="2">
        <v>1</v>
      </c>
      <c r="J32" s="2">
        <v>1</v>
      </c>
      <c r="K32" s="2"/>
      <c r="L32" s="2"/>
    </row>
    <row r="33" spans="1:12" x14ac:dyDescent="0.2">
      <c r="A33" s="1" t="s">
        <v>20</v>
      </c>
      <c r="C33" s="2">
        <v>1.5</v>
      </c>
      <c r="D33" s="2">
        <v>1.5</v>
      </c>
      <c r="E33" s="2">
        <v>1.5</v>
      </c>
      <c r="F33" s="2">
        <v>1.5</v>
      </c>
      <c r="G33" s="2">
        <v>1.5</v>
      </c>
      <c r="H33" s="2">
        <v>1.5</v>
      </c>
      <c r="I33" s="2">
        <v>1.5</v>
      </c>
      <c r="J33" s="2">
        <v>1.5</v>
      </c>
      <c r="K33" s="2"/>
      <c r="L33" s="2"/>
    </row>
    <row r="34" spans="1:12" x14ac:dyDescent="0.2">
      <c r="C34" s="2"/>
      <c r="D34" s="2"/>
      <c r="E34" s="2"/>
      <c r="F34" s="2"/>
      <c r="G34" s="2"/>
      <c r="H34" s="2"/>
      <c r="I34" s="2"/>
      <c r="J34" s="2"/>
      <c r="K34" s="2"/>
      <c r="L34" s="2"/>
    </row>
    <row r="35" spans="1:12" x14ac:dyDescent="0.2">
      <c r="A35" s="1" t="s">
        <v>2</v>
      </c>
      <c r="C35" s="2">
        <f>SUM(C27:C34)</f>
        <v>72.905887719360024</v>
      </c>
      <c r="D35" s="2">
        <f t="shared" ref="D35:J35" si="6">SUM(D27:D34)</f>
        <v>81.133454490000005</v>
      </c>
      <c r="E35" s="2">
        <f t="shared" si="6"/>
        <v>89.844995776560026</v>
      </c>
      <c r="F35" s="2">
        <f t="shared" si="6"/>
        <v>99.040511579040015</v>
      </c>
      <c r="G35" s="2">
        <f t="shared" si="6"/>
        <v>111.53166479976001</v>
      </c>
      <c r="H35" s="2">
        <f t="shared" si="6"/>
        <v>121.85645447272002</v>
      </c>
      <c r="I35" s="2">
        <f t="shared" si="6"/>
        <v>132.66521866159999</v>
      </c>
      <c r="J35" s="2">
        <f t="shared" si="6"/>
        <v>143.9579573664</v>
      </c>
      <c r="K35" s="2"/>
      <c r="L35" s="2"/>
    </row>
    <row r="36" spans="1:12" x14ac:dyDescent="0.2">
      <c r="A36" s="1" t="s">
        <v>19</v>
      </c>
      <c r="C36" s="2">
        <f t="shared" ref="C36:J36" si="7">C35*1%</f>
        <v>0.7290588771936003</v>
      </c>
      <c r="D36" s="2">
        <f t="shared" si="7"/>
        <v>0.81133454490000012</v>
      </c>
      <c r="E36" s="2">
        <f t="shared" si="7"/>
        <v>0.89844995776560033</v>
      </c>
      <c r="F36" s="2">
        <f t="shared" si="7"/>
        <v>0.99040511579040014</v>
      </c>
      <c r="G36" s="2">
        <f t="shared" si="7"/>
        <v>1.1153166479976002</v>
      </c>
      <c r="H36" s="2">
        <f t="shared" si="7"/>
        <v>1.2185645447272002</v>
      </c>
      <c r="I36" s="2">
        <f t="shared" si="7"/>
        <v>1.3266521866159999</v>
      </c>
      <c r="J36" s="2">
        <f t="shared" si="7"/>
        <v>1.439579573664</v>
      </c>
      <c r="K36" s="2"/>
      <c r="L36" s="2"/>
    </row>
    <row r="37" spans="1:12" x14ac:dyDescent="0.2">
      <c r="C37" s="2"/>
      <c r="D37" s="2"/>
      <c r="E37" s="2"/>
      <c r="F37" s="2"/>
      <c r="G37" s="2"/>
      <c r="H37" s="2"/>
      <c r="I37" s="2"/>
      <c r="J37" s="2"/>
      <c r="K37" s="2"/>
      <c r="L37" s="2"/>
    </row>
    <row r="38" spans="1:12" x14ac:dyDescent="0.2">
      <c r="A38" s="1" t="s">
        <v>2</v>
      </c>
      <c r="C38" s="2">
        <f t="shared" ref="C38:J38" si="8">SUM(C35:C37)</f>
        <v>73.634946596553618</v>
      </c>
      <c r="D38" s="2">
        <f t="shared" si="8"/>
        <v>81.944789034900012</v>
      </c>
      <c r="E38" s="2">
        <f t="shared" si="8"/>
        <v>90.743445734325633</v>
      </c>
      <c r="F38" s="2">
        <f t="shared" si="8"/>
        <v>100.03091669483041</v>
      </c>
      <c r="G38" s="2">
        <f t="shared" si="8"/>
        <v>112.64698144775761</v>
      </c>
      <c r="H38" s="2">
        <f t="shared" si="8"/>
        <v>123.07501901744722</v>
      </c>
      <c r="I38" s="2">
        <f t="shared" si="8"/>
        <v>133.991870848216</v>
      </c>
      <c r="J38" s="2">
        <f t="shared" si="8"/>
        <v>145.39753694006399</v>
      </c>
      <c r="K38" s="2"/>
      <c r="L38" s="2"/>
    </row>
    <row r="39" spans="1:12" x14ac:dyDescent="0.2">
      <c r="A39" s="1" t="s">
        <v>42</v>
      </c>
      <c r="C39" s="2">
        <f>C38*20%</f>
        <v>14.726989319310725</v>
      </c>
      <c r="D39" s="2">
        <f t="shared" ref="D39:J39" si="9">D38*20%</f>
        <v>16.388957806980002</v>
      </c>
      <c r="E39" s="2">
        <f t="shared" si="9"/>
        <v>18.148689146865127</v>
      </c>
      <c r="F39" s="2">
        <f t="shared" si="9"/>
        <v>20.006183338966082</v>
      </c>
      <c r="G39" s="2">
        <f t="shared" si="9"/>
        <v>22.529396289551524</v>
      </c>
      <c r="H39" s="2">
        <f t="shared" si="9"/>
        <v>24.615003803489444</v>
      </c>
      <c r="I39" s="2">
        <f t="shared" si="9"/>
        <v>26.7983741696432</v>
      </c>
      <c r="J39" s="2">
        <f t="shared" si="9"/>
        <v>29.0795073880128</v>
      </c>
      <c r="K39" s="2"/>
      <c r="L39" s="2"/>
    </row>
    <row r="40" spans="1:12" x14ac:dyDescent="0.2">
      <c r="C40" s="2"/>
      <c r="D40" s="2"/>
      <c r="E40" s="2"/>
      <c r="F40" s="2"/>
      <c r="G40" s="2"/>
      <c r="H40" s="2"/>
      <c r="I40" s="2"/>
      <c r="J40" s="2"/>
      <c r="K40" s="2"/>
      <c r="L40" s="2"/>
    </row>
    <row r="41" spans="1:12" x14ac:dyDescent="0.2">
      <c r="A41" s="1" t="s">
        <v>6</v>
      </c>
      <c r="C41" s="2">
        <f t="shared" ref="C41:J41" si="10">SUM(C38:C40)</f>
        <v>88.361935915864336</v>
      </c>
      <c r="D41" s="2">
        <f t="shared" si="10"/>
        <v>98.333746841880014</v>
      </c>
      <c r="E41" s="2">
        <f t="shared" si="10"/>
        <v>108.89213488119076</v>
      </c>
      <c r="F41" s="2">
        <f t="shared" si="10"/>
        <v>120.03710003379649</v>
      </c>
      <c r="G41" s="2">
        <f t="shared" si="10"/>
        <v>135.17637773730914</v>
      </c>
      <c r="H41" s="2">
        <f t="shared" si="10"/>
        <v>147.69002282093666</v>
      </c>
      <c r="I41" s="2">
        <f t="shared" si="10"/>
        <v>160.79024501785921</v>
      </c>
      <c r="J41" s="2">
        <f t="shared" si="10"/>
        <v>174.47704432807677</v>
      </c>
      <c r="K41" s="2"/>
      <c r="L41" s="2"/>
    </row>
    <row r="42" spans="1:12" x14ac:dyDescent="0.2">
      <c r="C42" s="2"/>
      <c r="D42" s="2"/>
      <c r="E42" s="2"/>
      <c r="F42" s="2"/>
      <c r="G42" s="2"/>
      <c r="H42" s="2"/>
      <c r="I42" s="2"/>
      <c r="J42" s="2"/>
      <c r="K42" s="2"/>
      <c r="L42" s="2"/>
    </row>
    <row r="43" spans="1:12" x14ac:dyDescent="0.2">
      <c r="A43" s="1" t="s">
        <v>29</v>
      </c>
      <c r="C43" s="2">
        <f>C41/85</f>
        <v>1.0395521872454627</v>
      </c>
      <c r="D43" s="2">
        <f t="shared" ref="D43:J43" si="11">D41/85</f>
        <v>1.1568676099044708</v>
      </c>
      <c r="E43" s="2">
        <f t="shared" si="11"/>
        <v>1.2810839397787148</v>
      </c>
      <c r="F43" s="2">
        <f t="shared" si="11"/>
        <v>1.4122011768681939</v>
      </c>
      <c r="G43" s="2">
        <f t="shared" si="11"/>
        <v>1.5903103263212839</v>
      </c>
      <c r="H43" s="2">
        <f t="shared" si="11"/>
        <v>1.7375296802463136</v>
      </c>
      <c r="I43" s="2">
        <f t="shared" si="11"/>
        <v>1.8916499413865788</v>
      </c>
      <c r="J43" s="2">
        <f t="shared" si="11"/>
        <v>2.0526711097420796</v>
      </c>
      <c r="K43" s="2"/>
      <c r="L43" s="2"/>
    </row>
    <row r="44" spans="1:12" x14ac:dyDescent="0.2">
      <c r="C44" s="2"/>
      <c r="D44" s="2"/>
      <c r="E44" s="2"/>
      <c r="F44" s="2"/>
      <c r="G44" s="2"/>
      <c r="H44" s="2"/>
      <c r="I44" s="2"/>
      <c r="J44" s="2"/>
      <c r="K44" s="2"/>
      <c r="L44" s="2"/>
    </row>
    <row r="45" spans="1:12" x14ac:dyDescent="0.2">
      <c r="A45" s="1" t="s">
        <v>39</v>
      </c>
      <c r="C45" s="2">
        <v>7.0000000000000007E-2</v>
      </c>
      <c r="D45" s="2">
        <v>7.0000000000000007E-2</v>
      </c>
      <c r="E45" s="2">
        <v>7.0000000000000007E-2</v>
      </c>
      <c r="F45" s="2">
        <v>7.0000000000000007E-2</v>
      </c>
      <c r="G45" s="2">
        <v>7.0000000000000007E-2</v>
      </c>
      <c r="H45" s="2">
        <v>7.0000000000000007E-2</v>
      </c>
      <c r="I45" s="2">
        <v>7.0000000000000007E-2</v>
      </c>
      <c r="J45" s="2">
        <v>7.0000000000000007E-2</v>
      </c>
      <c r="K45" s="2"/>
      <c r="L45" s="2"/>
    </row>
    <row r="46" spans="1:12" x14ac:dyDescent="0.2">
      <c r="A46" s="1" t="s">
        <v>40</v>
      </c>
      <c r="C46" s="2">
        <f>0.3*34.5%</f>
        <v>0.10349999999999999</v>
      </c>
      <c r="D46" s="2">
        <f t="shared" ref="D46:J46" si="12">0.3*34.5%</f>
        <v>0.10349999999999999</v>
      </c>
      <c r="E46" s="2">
        <f t="shared" si="12"/>
        <v>0.10349999999999999</v>
      </c>
      <c r="F46" s="2">
        <f t="shared" si="12"/>
        <v>0.10349999999999999</v>
      </c>
      <c r="G46" s="2">
        <f t="shared" si="12"/>
        <v>0.10349999999999999</v>
      </c>
      <c r="H46" s="2">
        <f t="shared" si="12"/>
        <v>0.10349999999999999</v>
      </c>
      <c r="I46" s="2">
        <f t="shared" si="12"/>
        <v>0.10349999999999999</v>
      </c>
      <c r="J46" s="2">
        <f t="shared" si="12"/>
        <v>0.10349999999999999</v>
      </c>
      <c r="K46" s="2"/>
      <c r="L46" s="2"/>
    </row>
    <row r="47" spans="1:12" x14ac:dyDescent="0.2">
      <c r="C47" s="2"/>
      <c r="D47" s="2"/>
    </row>
    <row r="48" spans="1:12" s="6" customFormat="1" x14ac:dyDescent="0.2">
      <c r="A48" s="6" t="s">
        <v>41</v>
      </c>
      <c r="C48" s="5">
        <f>SUM(C43:C47)</f>
        <v>1.2130521872454627</v>
      </c>
      <c r="D48" s="5">
        <f t="shared" ref="D48:J48" si="13">SUM(D43:D47)</f>
        <v>1.3303676099044708</v>
      </c>
      <c r="E48" s="5">
        <f t="shared" si="13"/>
        <v>1.4545839397787148</v>
      </c>
      <c r="F48" s="5">
        <f t="shared" si="13"/>
        <v>1.5857011768681939</v>
      </c>
      <c r="G48" s="5">
        <f t="shared" si="13"/>
        <v>1.7638103263212839</v>
      </c>
      <c r="H48" s="5">
        <f t="shared" si="13"/>
        <v>1.9110296802463136</v>
      </c>
      <c r="I48" s="5">
        <f t="shared" si="13"/>
        <v>2.0651499413865788</v>
      </c>
      <c r="J48" s="5">
        <f t="shared" si="13"/>
        <v>2.2261711097420793</v>
      </c>
    </row>
    <row r="49" spans="3:4" x14ac:dyDescent="0.2">
      <c r="C49" s="2"/>
      <c r="D49" s="2"/>
    </row>
    <row r="50" spans="3:4" x14ac:dyDescent="0.2">
      <c r="C50" s="2"/>
      <c r="D50" s="2"/>
    </row>
    <row r="51" spans="3:4" x14ac:dyDescent="0.2">
      <c r="C51" s="2"/>
      <c r="D51" s="2"/>
    </row>
    <row r="52" spans="3:4" x14ac:dyDescent="0.2">
      <c r="C52" s="2"/>
      <c r="D52" s="2"/>
    </row>
    <row r="53" spans="3:4" x14ac:dyDescent="0.2">
      <c r="C53" s="2"/>
      <c r="D53" s="2"/>
    </row>
    <row r="54" spans="3:4" x14ac:dyDescent="0.2">
      <c r="C54" s="2"/>
      <c r="D54" s="2"/>
    </row>
    <row r="55" spans="3:4" x14ac:dyDescent="0.2">
      <c r="C55" s="2"/>
      <c r="D55" s="2"/>
    </row>
    <row r="56" spans="3:4" x14ac:dyDescent="0.2">
      <c r="C56" s="2"/>
      <c r="D56" s="2"/>
    </row>
    <row r="57" spans="3:4" x14ac:dyDescent="0.2">
      <c r="C57" s="2"/>
      <c r="D57" s="2"/>
    </row>
    <row r="58" spans="3:4" x14ac:dyDescent="0.2">
      <c r="C58" s="2"/>
      <c r="D58" s="2"/>
    </row>
    <row r="59" spans="3:4" x14ac:dyDescent="0.2">
      <c r="C59" s="2"/>
      <c r="D59" s="2"/>
    </row>
    <row r="60" spans="3:4" x14ac:dyDescent="0.2">
      <c r="C60" s="2"/>
      <c r="D60" s="2"/>
    </row>
    <row r="61" spans="3:4" x14ac:dyDescent="0.2">
      <c r="C61" s="2"/>
      <c r="D61" s="2"/>
    </row>
    <row r="62" spans="3:4" x14ac:dyDescent="0.2">
      <c r="C62" s="2"/>
      <c r="D62" s="2"/>
    </row>
    <row r="63" spans="3:4" x14ac:dyDescent="0.2">
      <c r="C63" s="2"/>
      <c r="D63" s="2"/>
    </row>
    <row r="64" spans="3:4" x14ac:dyDescent="0.2">
      <c r="C64" s="2"/>
      <c r="D64" s="2"/>
    </row>
    <row r="65" spans="3:4" x14ac:dyDescent="0.2">
      <c r="C65" s="2"/>
      <c r="D65" s="2"/>
    </row>
    <row r="66" spans="3:4" x14ac:dyDescent="0.2">
      <c r="C66" s="2"/>
      <c r="D66" s="2"/>
    </row>
    <row r="67" spans="3:4" x14ac:dyDescent="0.2">
      <c r="C67" s="10"/>
      <c r="D67" s="10"/>
    </row>
    <row r="68" spans="3:4" x14ac:dyDescent="0.2">
      <c r="C68" s="2"/>
      <c r="D68" s="2"/>
    </row>
    <row r="69" spans="3:4" x14ac:dyDescent="0.2">
      <c r="C69" s="10"/>
      <c r="D69" s="10"/>
    </row>
    <row r="70" spans="3:4" x14ac:dyDescent="0.2">
      <c r="C70" s="2"/>
      <c r="D70" s="2"/>
    </row>
    <row r="71" spans="3:4" x14ac:dyDescent="0.2">
      <c r="C71" s="10"/>
      <c r="D71" s="10"/>
    </row>
    <row r="72" spans="3:4" x14ac:dyDescent="0.2">
      <c r="C72" s="2"/>
      <c r="D72" s="2"/>
    </row>
    <row r="73" spans="3:4" x14ac:dyDescent="0.2">
      <c r="C73" s="2"/>
      <c r="D73" s="2"/>
    </row>
  </sheetData>
  <pageMargins left="0.39370078740157483" right="0.39370078740157483" top="0.39370078740157483" bottom="0.39370078740157483" header="0.39370078740157483" footer="0.39370078740157483"/>
  <pageSetup paperSize="9" scale="91" orientation="portrait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E75997-D0C6-4FF9-926E-04C44EEE3582}">
  <sheetPr>
    <pageSetUpPr fitToPage="1"/>
  </sheetPr>
  <dimension ref="A1:L73"/>
  <sheetViews>
    <sheetView zoomScaleNormal="100" workbookViewId="0">
      <selection activeCell="C3" sqref="C3"/>
    </sheetView>
  </sheetViews>
  <sheetFormatPr defaultColWidth="9.14453125" defaultRowHeight="15" x14ac:dyDescent="0.2"/>
  <cols>
    <col min="1" max="1" width="18.16015625" style="1" bestFit="1" customWidth="1"/>
    <col min="2" max="2" width="5.6484375" style="1" customWidth="1"/>
    <col min="3" max="10" width="17.21875" style="1" bestFit="1" customWidth="1"/>
    <col min="11" max="12" width="13.85546875" style="1" bestFit="1" customWidth="1"/>
    <col min="13" max="16384" width="9.14453125" style="1"/>
  </cols>
  <sheetData>
    <row r="1" spans="1:12" ht="30" customHeight="1" x14ac:dyDescent="0.2">
      <c r="A1" s="1" t="s">
        <v>28</v>
      </c>
      <c r="C1" s="9" t="s">
        <v>30</v>
      </c>
      <c r="D1" s="9" t="s">
        <v>30</v>
      </c>
      <c r="E1" s="9" t="s">
        <v>30</v>
      </c>
      <c r="F1" s="9" t="s">
        <v>30</v>
      </c>
      <c r="G1" s="9" t="s">
        <v>30</v>
      </c>
      <c r="H1" s="9" t="s">
        <v>30</v>
      </c>
      <c r="I1" s="9" t="s">
        <v>30</v>
      </c>
      <c r="J1" s="9" t="s">
        <v>30</v>
      </c>
      <c r="K1" s="9"/>
      <c r="L1" s="9"/>
    </row>
    <row r="2" spans="1:12" x14ac:dyDescent="0.2">
      <c r="A2" s="1" t="s">
        <v>0</v>
      </c>
      <c r="C2" s="1" t="s">
        <v>36</v>
      </c>
      <c r="D2" s="1" t="s">
        <v>36</v>
      </c>
      <c r="E2" s="1" t="s">
        <v>36</v>
      </c>
      <c r="F2" s="1" t="s">
        <v>36</v>
      </c>
      <c r="G2" s="1" t="s">
        <v>36</v>
      </c>
      <c r="H2" s="1" t="s">
        <v>36</v>
      </c>
      <c r="I2" s="1" t="s">
        <v>36</v>
      </c>
      <c r="J2" s="1" t="s">
        <v>36</v>
      </c>
    </row>
    <row r="3" spans="1:12" x14ac:dyDescent="0.2">
      <c r="A3" s="1" t="s">
        <v>1</v>
      </c>
      <c r="C3" s="1">
        <v>175</v>
      </c>
      <c r="D3" s="1">
        <v>175</v>
      </c>
      <c r="E3" s="1">
        <v>175</v>
      </c>
      <c r="F3" s="1">
        <v>175</v>
      </c>
      <c r="G3" s="1">
        <v>175</v>
      </c>
      <c r="H3" s="1">
        <v>175</v>
      </c>
      <c r="I3" s="1">
        <v>175</v>
      </c>
      <c r="J3" s="1">
        <v>175</v>
      </c>
    </row>
    <row r="4" spans="1:12" x14ac:dyDescent="0.2">
      <c r="C4" s="1" t="s">
        <v>23</v>
      </c>
      <c r="D4" s="1" t="s">
        <v>24</v>
      </c>
      <c r="E4" s="1" t="s">
        <v>25</v>
      </c>
      <c r="F4" s="1" t="s">
        <v>26</v>
      </c>
      <c r="G4" s="1" t="s">
        <v>27</v>
      </c>
      <c r="H4" s="1" t="s">
        <v>33</v>
      </c>
      <c r="I4" s="1" t="s">
        <v>34</v>
      </c>
      <c r="J4" s="1" t="s">
        <v>35</v>
      </c>
    </row>
    <row r="6" spans="1:12" x14ac:dyDescent="0.2">
      <c r="A6" s="1" t="s">
        <v>10</v>
      </c>
      <c r="C6" s="1">
        <v>18</v>
      </c>
      <c r="D6" s="1">
        <v>20</v>
      </c>
      <c r="E6" s="1">
        <v>22</v>
      </c>
      <c r="F6" s="1">
        <v>24</v>
      </c>
      <c r="G6" s="1">
        <v>26</v>
      </c>
      <c r="H6" s="1">
        <v>28</v>
      </c>
      <c r="I6" s="1">
        <v>30</v>
      </c>
      <c r="J6" s="1">
        <v>32</v>
      </c>
    </row>
    <row r="7" spans="1:12" x14ac:dyDescent="0.2">
      <c r="A7" s="1" t="s">
        <v>12</v>
      </c>
      <c r="C7" s="1">
        <v>27</v>
      </c>
      <c r="D7" s="1">
        <v>28</v>
      </c>
      <c r="E7" s="1">
        <v>29</v>
      </c>
      <c r="F7" s="1">
        <v>30</v>
      </c>
      <c r="G7" s="1">
        <v>32</v>
      </c>
      <c r="H7" s="1">
        <v>33</v>
      </c>
      <c r="I7" s="1">
        <v>34</v>
      </c>
      <c r="J7" s="1">
        <v>35</v>
      </c>
    </row>
    <row r="8" spans="1:12" x14ac:dyDescent="0.2">
      <c r="A8" s="1" t="s">
        <v>11</v>
      </c>
      <c r="C8" s="1">
        <v>8</v>
      </c>
      <c r="D8" s="1">
        <v>8.5</v>
      </c>
      <c r="E8" s="1">
        <v>9</v>
      </c>
      <c r="F8" s="1">
        <v>9.5</v>
      </c>
      <c r="G8" s="1">
        <v>10</v>
      </c>
      <c r="H8" s="1">
        <v>10.5</v>
      </c>
      <c r="I8" s="1">
        <v>11</v>
      </c>
      <c r="J8" s="1">
        <v>11.5</v>
      </c>
    </row>
    <row r="10" spans="1:12" x14ac:dyDescent="0.2">
      <c r="A10" s="1" t="s">
        <v>14</v>
      </c>
      <c r="C10" s="7">
        <f>C6*(C7+C8+1)*2*2.54*2.54/10000*C3</f>
        <v>146.32228800000001</v>
      </c>
      <c r="D10" s="7">
        <f t="shared" ref="D10:J10" si="0">D6*(D7+D8+1)*2*2.54*2.54/10000*D3</f>
        <v>169.3545</v>
      </c>
      <c r="E10" s="7">
        <f t="shared" si="0"/>
        <v>193.74154800000002</v>
      </c>
      <c r="F10" s="7">
        <f t="shared" si="0"/>
        <v>219.48343199999999</v>
      </c>
      <c r="G10" s="7">
        <f t="shared" si="0"/>
        <v>252.451108</v>
      </c>
      <c r="H10" s="7">
        <f t="shared" si="0"/>
        <v>281.35427600000003</v>
      </c>
      <c r="I10" s="7">
        <f t="shared" si="0"/>
        <v>311.61228</v>
      </c>
      <c r="J10" s="7">
        <f t="shared" si="0"/>
        <v>343.22512</v>
      </c>
      <c r="K10" s="7"/>
      <c r="L10" s="7"/>
    </row>
    <row r="11" spans="1:12" x14ac:dyDescent="0.2">
      <c r="A11" s="1" t="s">
        <v>21</v>
      </c>
      <c r="C11" s="7">
        <v>6</v>
      </c>
      <c r="D11" s="7">
        <v>6</v>
      </c>
      <c r="E11" s="7">
        <v>6</v>
      </c>
      <c r="F11" s="7">
        <v>6</v>
      </c>
      <c r="G11" s="7">
        <v>6</v>
      </c>
      <c r="H11" s="7">
        <v>6</v>
      </c>
      <c r="I11" s="7">
        <v>6</v>
      </c>
      <c r="J11" s="7">
        <v>6</v>
      </c>
      <c r="K11" s="7"/>
      <c r="L11" s="7"/>
    </row>
    <row r="12" spans="1:12" x14ac:dyDescent="0.2">
      <c r="A12" s="1" t="s">
        <v>13</v>
      </c>
      <c r="C12" s="7">
        <v>6</v>
      </c>
      <c r="D12" s="7">
        <v>6</v>
      </c>
      <c r="E12" s="7">
        <v>6</v>
      </c>
      <c r="F12" s="7">
        <v>6</v>
      </c>
      <c r="G12" s="7">
        <v>8</v>
      </c>
      <c r="H12" s="7">
        <v>8</v>
      </c>
      <c r="I12" s="7">
        <v>8</v>
      </c>
      <c r="J12" s="7">
        <v>8</v>
      </c>
      <c r="K12" s="7"/>
      <c r="L12" s="7"/>
    </row>
    <row r="14" spans="1:12" x14ac:dyDescent="0.2">
      <c r="A14" s="1" t="s">
        <v>15</v>
      </c>
      <c r="C14" s="7">
        <f t="shared" ref="C14:J14" si="1">SUM(C10:C13)</f>
        <v>158.32228800000001</v>
      </c>
      <c r="D14" s="7">
        <f t="shared" si="1"/>
        <v>181.3545</v>
      </c>
      <c r="E14" s="7">
        <f t="shared" si="1"/>
        <v>205.74154800000002</v>
      </c>
      <c r="F14" s="7">
        <f t="shared" si="1"/>
        <v>231.48343199999999</v>
      </c>
      <c r="G14" s="7">
        <f t="shared" si="1"/>
        <v>266.45110799999998</v>
      </c>
      <c r="H14" s="7">
        <f t="shared" si="1"/>
        <v>295.35427600000003</v>
      </c>
      <c r="I14" s="7">
        <f t="shared" si="1"/>
        <v>325.61228</v>
      </c>
      <c r="J14" s="7">
        <f t="shared" si="1"/>
        <v>357.22512</v>
      </c>
      <c r="K14" s="7"/>
      <c r="L14" s="7"/>
    </row>
    <row r="16" spans="1:12" x14ac:dyDescent="0.2">
      <c r="A16" s="1" t="s">
        <v>16</v>
      </c>
      <c r="C16" s="7">
        <v>272</v>
      </c>
      <c r="D16" s="7">
        <v>272</v>
      </c>
      <c r="E16" s="7">
        <v>272</v>
      </c>
      <c r="F16" s="7">
        <v>272</v>
      </c>
      <c r="G16" s="7">
        <v>272</v>
      </c>
      <c r="H16" s="7">
        <v>272</v>
      </c>
      <c r="I16" s="7">
        <v>272</v>
      </c>
      <c r="J16" s="7">
        <v>272</v>
      </c>
      <c r="K16" s="7"/>
      <c r="L16" s="7"/>
    </row>
    <row r="17" spans="1:12" x14ac:dyDescent="0.2">
      <c r="A17" s="1" t="s">
        <v>7</v>
      </c>
      <c r="C17" s="7">
        <v>10</v>
      </c>
      <c r="D17" s="7">
        <v>10</v>
      </c>
      <c r="E17" s="7">
        <v>10</v>
      </c>
      <c r="F17" s="7">
        <v>10</v>
      </c>
      <c r="G17" s="7">
        <v>10</v>
      </c>
      <c r="H17" s="7">
        <v>10</v>
      </c>
      <c r="I17" s="7">
        <v>10</v>
      </c>
      <c r="J17" s="7">
        <v>10</v>
      </c>
      <c r="K17" s="7"/>
      <c r="L17" s="7"/>
    </row>
    <row r="18" spans="1:12" x14ac:dyDescent="0.2">
      <c r="A18" s="1" t="s">
        <v>37</v>
      </c>
      <c r="C18" s="7">
        <v>90</v>
      </c>
      <c r="D18" s="7">
        <v>90</v>
      </c>
      <c r="E18" s="7">
        <v>90</v>
      </c>
      <c r="F18" s="7">
        <v>90</v>
      </c>
      <c r="G18" s="7">
        <v>90</v>
      </c>
      <c r="H18" s="7">
        <v>90</v>
      </c>
      <c r="I18" s="7">
        <v>90</v>
      </c>
      <c r="J18" s="7">
        <v>90</v>
      </c>
      <c r="K18" s="7"/>
      <c r="L18" s="7"/>
    </row>
    <row r="19" spans="1:12" x14ac:dyDescent="0.2">
      <c r="A19" s="1" t="s">
        <v>31</v>
      </c>
      <c r="C19" s="7">
        <v>10</v>
      </c>
      <c r="D19" s="7">
        <v>10</v>
      </c>
      <c r="E19" s="7">
        <v>10</v>
      </c>
      <c r="F19" s="7">
        <v>10</v>
      </c>
      <c r="G19" s="7">
        <v>10</v>
      </c>
      <c r="H19" s="7">
        <v>10</v>
      </c>
      <c r="I19" s="7">
        <v>10</v>
      </c>
      <c r="J19" s="7">
        <v>10</v>
      </c>
      <c r="K19" s="7"/>
      <c r="L19" s="7"/>
    </row>
    <row r="20" spans="1:12" x14ac:dyDescent="0.2">
      <c r="A20" s="1" t="s">
        <v>8</v>
      </c>
      <c r="C20" s="7">
        <v>5</v>
      </c>
      <c r="D20" s="7">
        <v>5</v>
      </c>
      <c r="E20" s="7">
        <v>5</v>
      </c>
      <c r="F20" s="7">
        <v>5</v>
      </c>
      <c r="G20" s="7">
        <v>5</v>
      </c>
      <c r="H20" s="7">
        <v>5</v>
      </c>
      <c r="I20" s="7">
        <v>5</v>
      </c>
      <c r="J20" s="7">
        <v>5</v>
      </c>
      <c r="K20" s="7"/>
      <c r="L20" s="7"/>
    </row>
    <row r="21" spans="1:12" x14ac:dyDescent="0.2">
      <c r="C21" s="7"/>
      <c r="D21" s="7"/>
      <c r="E21" s="7"/>
      <c r="F21" s="7"/>
      <c r="G21" s="7"/>
      <c r="H21" s="7"/>
      <c r="I21" s="7"/>
      <c r="J21" s="7"/>
      <c r="K21" s="7"/>
      <c r="L21" s="7"/>
    </row>
    <row r="22" spans="1:12" x14ac:dyDescent="0.2">
      <c r="A22" s="1" t="s">
        <v>2</v>
      </c>
      <c r="C22" s="7">
        <f t="shared" ref="C22:J22" si="2">SUM(C16:C21)</f>
        <v>387</v>
      </c>
      <c r="D22" s="7">
        <f t="shared" si="2"/>
        <v>387</v>
      </c>
      <c r="E22" s="7">
        <f t="shared" si="2"/>
        <v>387</v>
      </c>
      <c r="F22" s="7">
        <f t="shared" si="2"/>
        <v>387</v>
      </c>
      <c r="G22" s="7">
        <f t="shared" si="2"/>
        <v>387</v>
      </c>
      <c r="H22" s="7">
        <f t="shared" si="2"/>
        <v>387</v>
      </c>
      <c r="I22" s="7">
        <f t="shared" si="2"/>
        <v>387</v>
      </c>
      <c r="J22" s="7">
        <f t="shared" si="2"/>
        <v>387</v>
      </c>
      <c r="K22" s="7"/>
      <c r="L22" s="7"/>
    </row>
    <row r="23" spans="1:12" x14ac:dyDescent="0.2">
      <c r="A23" s="1" t="s">
        <v>32</v>
      </c>
      <c r="C23" s="7">
        <f>C22*6%</f>
        <v>23.22</v>
      </c>
      <c r="D23" s="7">
        <f t="shared" ref="D23:J23" si="3">D22*6%</f>
        <v>23.22</v>
      </c>
      <c r="E23" s="7">
        <f t="shared" si="3"/>
        <v>23.22</v>
      </c>
      <c r="F23" s="7">
        <f t="shared" si="3"/>
        <v>23.22</v>
      </c>
      <c r="G23" s="7">
        <f t="shared" si="3"/>
        <v>23.22</v>
      </c>
      <c r="H23" s="7">
        <f t="shared" si="3"/>
        <v>23.22</v>
      </c>
      <c r="I23" s="7">
        <f t="shared" si="3"/>
        <v>23.22</v>
      </c>
      <c r="J23" s="7">
        <f t="shared" si="3"/>
        <v>23.22</v>
      </c>
      <c r="K23" s="7"/>
      <c r="L23" s="7"/>
    </row>
    <row r="24" spans="1:12" x14ac:dyDescent="0.2">
      <c r="C24" s="7"/>
      <c r="D24" s="7"/>
      <c r="E24" s="7"/>
      <c r="F24" s="7"/>
      <c r="G24" s="7"/>
      <c r="H24" s="7"/>
      <c r="I24" s="7"/>
      <c r="J24" s="7"/>
      <c r="K24" s="7"/>
      <c r="L24" s="7"/>
    </row>
    <row r="25" spans="1:12" s="8" customFormat="1" x14ac:dyDescent="0.2">
      <c r="A25" s="8" t="s">
        <v>3</v>
      </c>
      <c r="C25" s="7">
        <f t="shared" ref="C25:J25" si="4">SUM(C22:C24)</f>
        <v>410.22</v>
      </c>
      <c r="D25" s="7">
        <f t="shared" si="4"/>
        <v>410.22</v>
      </c>
      <c r="E25" s="7">
        <f t="shared" si="4"/>
        <v>410.22</v>
      </c>
      <c r="F25" s="7">
        <f t="shared" si="4"/>
        <v>410.22</v>
      </c>
      <c r="G25" s="7">
        <f t="shared" si="4"/>
        <v>410.22</v>
      </c>
      <c r="H25" s="7">
        <f t="shared" si="4"/>
        <v>410.22</v>
      </c>
      <c r="I25" s="7">
        <f t="shared" si="4"/>
        <v>410.22</v>
      </c>
      <c r="J25" s="7">
        <f t="shared" si="4"/>
        <v>410.22</v>
      </c>
      <c r="K25" s="7"/>
      <c r="L25" s="7"/>
    </row>
    <row r="26" spans="1:12" x14ac:dyDescent="0.2">
      <c r="C26" s="7"/>
      <c r="D26" s="7"/>
      <c r="E26" s="7"/>
      <c r="F26" s="7"/>
      <c r="G26" s="7"/>
      <c r="H26" s="7"/>
      <c r="I26" s="7"/>
      <c r="J26" s="7"/>
      <c r="K26" s="7"/>
      <c r="L26" s="7"/>
    </row>
    <row r="27" spans="1:12" x14ac:dyDescent="0.2">
      <c r="A27" s="1" t="s">
        <v>4</v>
      </c>
      <c r="C27" s="2">
        <f>C25*C14/1000</f>
        <v>64.946968983360009</v>
      </c>
      <c r="D27" s="2">
        <f t="shared" ref="D27:J27" si="5">D25*D14/1000</f>
        <v>74.39524299</v>
      </c>
      <c r="E27" s="2">
        <f t="shared" si="5"/>
        <v>84.399297820560008</v>
      </c>
      <c r="F27" s="2">
        <f t="shared" si="5"/>
        <v>94.959133475040005</v>
      </c>
      <c r="G27" s="2">
        <f t="shared" si="5"/>
        <v>109.30357352376001</v>
      </c>
      <c r="H27" s="2">
        <f t="shared" si="5"/>
        <v>121.16023110072003</v>
      </c>
      <c r="I27" s="2">
        <f t="shared" si="5"/>
        <v>133.57266950159999</v>
      </c>
      <c r="J27" s="2">
        <f t="shared" si="5"/>
        <v>146.5408887264</v>
      </c>
      <c r="K27" s="2"/>
      <c r="L27" s="2"/>
    </row>
    <row r="28" spans="1:12" x14ac:dyDescent="0.2">
      <c r="A28" s="1" t="s">
        <v>5</v>
      </c>
      <c r="C28" s="2">
        <v>12</v>
      </c>
      <c r="D28" s="2">
        <v>12</v>
      </c>
      <c r="E28" s="2">
        <v>12</v>
      </c>
      <c r="F28" s="2">
        <v>12</v>
      </c>
      <c r="G28" s="2">
        <v>12</v>
      </c>
      <c r="H28" s="2">
        <v>12</v>
      </c>
      <c r="I28" s="2">
        <v>12</v>
      </c>
      <c r="J28" s="2">
        <v>12</v>
      </c>
      <c r="K28" s="2"/>
      <c r="L28" s="2"/>
    </row>
    <row r="29" spans="1:12" x14ac:dyDescent="0.2">
      <c r="A29" s="1" t="s">
        <v>22</v>
      </c>
      <c r="C29" s="2">
        <v>0.45</v>
      </c>
      <c r="D29" s="2">
        <v>0.45</v>
      </c>
      <c r="E29" s="2">
        <v>0.45</v>
      </c>
      <c r="F29" s="2">
        <v>0.45</v>
      </c>
      <c r="G29" s="2">
        <v>0.45</v>
      </c>
      <c r="H29" s="2">
        <v>0.45</v>
      </c>
      <c r="I29" s="2">
        <v>0.45</v>
      </c>
      <c r="J29" s="2">
        <v>0.45</v>
      </c>
      <c r="K29" s="2"/>
      <c r="L29" s="2"/>
    </row>
    <row r="30" spans="1:12" x14ac:dyDescent="0.2">
      <c r="A30" s="1" t="s">
        <v>17</v>
      </c>
      <c r="C30" s="2">
        <v>0.4</v>
      </c>
      <c r="D30" s="2">
        <v>0.4</v>
      </c>
      <c r="E30" s="2">
        <v>0.4</v>
      </c>
      <c r="F30" s="2">
        <v>0.4</v>
      </c>
      <c r="G30" s="2">
        <v>0.4</v>
      </c>
      <c r="H30" s="2">
        <v>0.4</v>
      </c>
      <c r="I30" s="2">
        <v>0.4</v>
      </c>
      <c r="J30" s="2">
        <v>0.4</v>
      </c>
      <c r="K30" s="2"/>
      <c r="L30" s="2"/>
    </row>
    <row r="31" spans="1:12" x14ac:dyDescent="0.2">
      <c r="A31" s="1" t="s">
        <v>18</v>
      </c>
      <c r="C31" s="2">
        <v>1</v>
      </c>
      <c r="D31" s="2">
        <v>1</v>
      </c>
      <c r="E31" s="2">
        <v>1</v>
      </c>
      <c r="F31" s="2">
        <v>1</v>
      </c>
      <c r="G31" s="2">
        <v>1</v>
      </c>
      <c r="H31" s="2">
        <v>1</v>
      </c>
      <c r="I31" s="2">
        <v>1</v>
      </c>
      <c r="J31" s="2">
        <v>1</v>
      </c>
      <c r="K31" s="2"/>
      <c r="L31" s="2"/>
    </row>
    <row r="32" spans="1:12" x14ac:dyDescent="0.2">
      <c r="A32" s="1" t="s">
        <v>9</v>
      </c>
      <c r="C32" s="2">
        <v>1</v>
      </c>
      <c r="D32" s="2">
        <v>1</v>
      </c>
      <c r="E32" s="2">
        <v>1</v>
      </c>
      <c r="F32" s="2">
        <v>1</v>
      </c>
      <c r="G32" s="2">
        <v>1</v>
      </c>
      <c r="H32" s="2">
        <v>1</v>
      </c>
      <c r="I32" s="2">
        <v>1</v>
      </c>
      <c r="J32" s="2">
        <v>1</v>
      </c>
      <c r="K32" s="2"/>
      <c r="L32" s="2"/>
    </row>
    <row r="33" spans="1:12" x14ac:dyDescent="0.2">
      <c r="A33" s="1" t="s">
        <v>20</v>
      </c>
      <c r="C33" s="2">
        <v>1.5</v>
      </c>
      <c r="D33" s="2">
        <v>1.5</v>
      </c>
      <c r="E33" s="2">
        <v>1.5</v>
      </c>
      <c r="F33" s="2">
        <v>1.5</v>
      </c>
      <c r="G33" s="2">
        <v>1.5</v>
      </c>
      <c r="H33" s="2">
        <v>1.5</v>
      </c>
      <c r="I33" s="2">
        <v>1.5</v>
      </c>
      <c r="J33" s="2">
        <v>1.5</v>
      </c>
      <c r="K33" s="2"/>
      <c r="L33" s="2"/>
    </row>
    <row r="34" spans="1:12" x14ac:dyDescent="0.2">
      <c r="C34" s="2"/>
      <c r="D34" s="2"/>
      <c r="E34" s="2"/>
      <c r="F34" s="2"/>
      <c r="G34" s="2"/>
      <c r="H34" s="2"/>
      <c r="I34" s="2"/>
      <c r="J34" s="2"/>
      <c r="K34" s="2"/>
      <c r="L34" s="2"/>
    </row>
    <row r="35" spans="1:12" x14ac:dyDescent="0.2">
      <c r="A35" s="1" t="s">
        <v>2</v>
      </c>
      <c r="C35" s="2">
        <f>SUM(C27:C34)</f>
        <v>81.296968983360017</v>
      </c>
      <c r="D35" s="2">
        <f t="shared" ref="D35:J35" si="6">SUM(D27:D34)</f>
        <v>90.745242990000008</v>
      </c>
      <c r="E35" s="2">
        <f t="shared" si="6"/>
        <v>100.74929782056002</v>
      </c>
      <c r="F35" s="2">
        <f t="shared" si="6"/>
        <v>111.30913347504001</v>
      </c>
      <c r="G35" s="2">
        <f t="shared" si="6"/>
        <v>125.65357352376002</v>
      </c>
      <c r="H35" s="2">
        <f t="shared" si="6"/>
        <v>137.51023110072001</v>
      </c>
      <c r="I35" s="2">
        <f t="shared" si="6"/>
        <v>149.92266950159998</v>
      </c>
      <c r="J35" s="2">
        <f t="shared" si="6"/>
        <v>162.89088872639999</v>
      </c>
      <c r="K35" s="2"/>
      <c r="L35" s="2"/>
    </row>
    <row r="36" spans="1:12" x14ac:dyDescent="0.2">
      <c r="A36" s="1" t="s">
        <v>19</v>
      </c>
      <c r="C36" s="2">
        <f t="shared" ref="C36:J36" si="7">C35*1%</f>
        <v>0.81296968983360018</v>
      </c>
      <c r="D36" s="2">
        <f t="shared" si="7"/>
        <v>0.90745242990000008</v>
      </c>
      <c r="E36" s="2">
        <f t="shared" si="7"/>
        <v>1.0074929782056001</v>
      </c>
      <c r="F36" s="2">
        <f t="shared" si="7"/>
        <v>1.1130913347504001</v>
      </c>
      <c r="G36" s="2">
        <f t="shared" si="7"/>
        <v>1.2565357352376001</v>
      </c>
      <c r="H36" s="2">
        <f t="shared" si="7"/>
        <v>1.3751023110072</v>
      </c>
      <c r="I36" s="2">
        <f t="shared" si="7"/>
        <v>1.4992266950159998</v>
      </c>
      <c r="J36" s="2">
        <f t="shared" si="7"/>
        <v>1.6289088872640001</v>
      </c>
      <c r="K36" s="2"/>
      <c r="L36" s="2"/>
    </row>
    <row r="37" spans="1:12" x14ac:dyDescent="0.2">
      <c r="C37" s="2"/>
      <c r="D37" s="2"/>
      <c r="E37" s="2"/>
      <c r="F37" s="2"/>
      <c r="G37" s="2"/>
      <c r="H37" s="2"/>
      <c r="I37" s="2"/>
      <c r="J37" s="2"/>
      <c r="K37" s="2"/>
      <c r="L37" s="2"/>
    </row>
    <row r="38" spans="1:12" x14ac:dyDescent="0.2">
      <c r="A38" s="1" t="s">
        <v>2</v>
      </c>
      <c r="C38" s="2">
        <f t="shared" ref="C38:J38" si="8">SUM(C35:C37)</f>
        <v>82.109938673193611</v>
      </c>
      <c r="D38" s="2">
        <f t="shared" si="8"/>
        <v>91.652695419900013</v>
      </c>
      <c r="E38" s="2">
        <f t="shared" si="8"/>
        <v>101.75679079876562</v>
      </c>
      <c r="F38" s="2">
        <f t="shared" si="8"/>
        <v>112.42222480979041</v>
      </c>
      <c r="G38" s="2">
        <f t="shared" si="8"/>
        <v>126.91010925899762</v>
      </c>
      <c r="H38" s="2">
        <f t="shared" si="8"/>
        <v>138.8853334117272</v>
      </c>
      <c r="I38" s="2">
        <f t="shared" si="8"/>
        <v>151.42189619661599</v>
      </c>
      <c r="J38" s="2">
        <f t="shared" si="8"/>
        <v>164.519797613664</v>
      </c>
      <c r="K38" s="2"/>
      <c r="L38" s="2"/>
    </row>
    <row r="39" spans="1:12" x14ac:dyDescent="0.2">
      <c r="A39" s="1" t="s">
        <v>42</v>
      </c>
      <c r="C39" s="2">
        <f>C38*20%</f>
        <v>16.421987734638723</v>
      </c>
      <c r="D39" s="2">
        <f t="shared" ref="D39:J39" si="9">D38*20%</f>
        <v>18.330539083980003</v>
      </c>
      <c r="E39" s="2">
        <f t="shared" si="9"/>
        <v>20.351358159753126</v>
      </c>
      <c r="F39" s="2">
        <f t="shared" si="9"/>
        <v>22.484444961958083</v>
      </c>
      <c r="G39" s="2">
        <f t="shared" si="9"/>
        <v>25.382021851799525</v>
      </c>
      <c r="H39" s="2">
        <f t="shared" si="9"/>
        <v>27.777066682345442</v>
      </c>
      <c r="I39" s="2">
        <f t="shared" si="9"/>
        <v>30.284379239323201</v>
      </c>
      <c r="J39" s="2">
        <f t="shared" si="9"/>
        <v>32.903959522732798</v>
      </c>
      <c r="K39" s="2"/>
      <c r="L39" s="2"/>
    </row>
    <row r="40" spans="1:12" x14ac:dyDescent="0.2">
      <c r="C40" s="2"/>
      <c r="D40" s="2"/>
      <c r="E40" s="2"/>
      <c r="F40" s="2"/>
      <c r="G40" s="2"/>
      <c r="H40" s="2"/>
      <c r="I40" s="2"/>
      <c r="J40" s="2"/>
      <c r="K40" s="2"/>
      <c r="L40" s="2"/>
    </row>
    <row r="41" spans="1:12" x14ac:dyDescent="0.2">
      <c r="A41" s="1" t="s">
        <v>6</v>
      </c>
      <c r="C41" s="2">
        <f t="shared" ref="C41:J41" si="10">SUM(C38:C40)</f>
        <v>98.53192640783233</v>
      </c>
      <c r="D41" s="2">
        <f t="shared" si="10"/>
        <v>109.98323450388001</v>
      </c>
      <c r="E41" s="2">
        <f t="shared" si="10"/>
        <v>122.10814895851874</v>
      </c>
      <c r="F41" s="2">
        <f t="shared" si="10"/>
        <v>134.90666977174848</v>
      </c>
      <c r="G41" s="2">
        <f t="shared" si="10"/>
        <v>152.29213111079716</v>
      </c>
      <c r="H41" s="2">
        <f t="shared" si="10"/>
        <v>166.66240009407264</v>
      </c>
      <c r="I41" s="2">
        <f t="shared" si="10"/>
        <v>181.70627543593918</v>
      </c>
      <c r="J41" s="2">
        <f t="shared" si="10"/>
        <v>197.4237571363968</v>
      </c>
      <c r="K41" s="2"/>
      <c r="L41" s="2"/>
    </row>
    <row r="42" spans="1:12" x14ac:dyDescent="0.2">
      <c r="C42" s="2"/>
      <c r="D42" s="2"/>
      <c r="E42" s="2"/>
      <c r="F42" s="2"/>
      <c r="G42" s="2"/>
      <c r="H42" s="2"/>
      <c r="I42" s="2"/>
      <c r="J42" s="2"/>
      <c r="K42" s="2"/>
      <c r="L42" s="2"/>
    </row>
    <row r="43" spans="1:12" x14ac:dyDescent="0.2">
      <c r="A43" s="1" t="s">
        <v>29</v>
      </c>
      <c r="C43" s="2">
        <f>C41/85</f>
        <v>1.159199134209792</v>
      </c>
      <c r="D43" s="2">
        <f t="shared" ref="D43:J43" si="11">D41/85</f>
        <v>1.2939204059280001</v>
      </c>
      <c r="E43" s="2">
        <f t="shared" si="11"/>
        <v>1.4365664583355147</v>
      </c>
      <c r="F43" s="2">
        <f t="shared" si="11"/>
        <v>1.5871372914323352</v>
      </c>
      <c r="G43" s="2">
        <f t="shared" si="11"/>
        <v>1.7916721307152608</v>
      </c>
      <c r="H43" s="2">
        <f t="shared" si="11"/>
        <v>1.9607341187537957</v>
      </c>
      <c r="I43" s="2">
        <f t="shared" si="11"/>
        <v>2.1377208874816374</v>
      </c>
      <c r="J43" s="2">
        <f t="shared" si="11"/>
        <v>2.3226324368987861</v>
      </c>
      <c r="K43" s="2"/>
      <c r="L43" s="2"/>
    </row>
    <row r="44" spans="1:12" x14ac:dyDescent="0.2">
      <c r="C44" s="2"/>
      <c r="D44" s="2"/>
      <c r="E44" s="2"/>
      <c r="F44" s="2"/>
      <c r="G44" s="2"/>
      <c r="H44" s="2"/>
      <c r="I44" s="2"/>
      <c r="J44" s="2"/>
      <c r="K44" s="2"/>
      <c r="L44" s="2"/>
    </row>
    <row r="45" spans="1:12" x14ac:dyDescent="0.2">
      <c r="A45" s="1" t="s">
        <v>39</v>
      </c>
      <c r="C45" s="2">
        <v>7.0000000000000007E-2</v>
      </c>
      <c r="D45" s="2">
        <v>7.0000000000000007E-2</v>
      </c>
      <c r="E45" s="2">
        <v>7.0000000000000007E-2</v>
      </c>
      <c r="F45" s="2">
        <v>7.0000000000000007E-2</v>
      </c>
      <c r="G45" s="2">
        <v>7.0000000000000007E-2</v>
      </c>
      <c r="H45" s="2">
        <v>7.0000000000000007E-2</v>
      </c>
      <c r="I45" s="2">
        <v>7.0000000000000007E-2</v>
      </c>
      <c r="J45" s="2">
        <v>7.0000000000000007E-2</v>
      </c>
      <c r="K45" s="2"/>
      <c r="L45" s="2"/>
    </row>
    <row r="46" spans="1:12" x14ac:dyDescent="0.2">
      <c r="A46" s="1" t="s">
        <v>40</v>
      </c>
      <c r="C46" s="2">
        <f>0.3*34.5%</f>
        <v>0.10349999999999999</v>
      </c>
      <c r="D46" s="2">
        <f t="shared" ref="D46:J46" si="12">0.3*34.5%</f>
        <v>0.10349999999999999</v>
      </c>
      <c r="E46" s="2">
        <f t="shared" si="12"/>
        <v>0.10349999999999999</v>
      </c>
      <c r="F46" s="2">
        <f t="shared" si="12"/>
        <v>0.10349999999999999</v>
      </c>
      <c r="G46" s="2">
        <f t="shared" si="12"/>
        <v>0.10349999999999999</v>
      </c>
      <c r="H46" s="2">
        <f t="shared" si="12"/>
        <v>0.10349999999999999</v>
      </c>
      <c r="I46" s="2">
        <f t="shared" si="12"/>
        <v>0.10349999999999999</v>
      </c>
      <c r="J46" s="2">
        <f t="shared" si="12"/>
        <v>0.10349999999999999</v>
      </c>
      <c r="K46" s="2"/>
      <c r="L46" s="2"/>
    </row>
    <row r="47" spans="1:12" x14ac:dyDescent="0.2">
      <c r="C47" s="2"/>
      <c r="D47" s="2"/>
    </row>
    <row r="48" spans="1:12" s="6" customFormat="1" x14ac:dyDescent="0.2">
      <c r="A48" s="6" t="s">
        <v>41</v>
      </c>
      <c r="C48" s="5">
        <f>SUM(C43:C47)</f>
        <v>1.332699134209792</v>
      </c>
      <c r="D48" s="5">
        <f t="shared" ref="D48:J48" si="13">SUM(D43:D47)</f>
        <v>1.467420405928</v>
      </c>
      <c r="E48" s="5">
        <f t="shared" si="13"/>
        <v>1.6100664583355146</v>
      </c>
      <c r="F48" s="5">
        <f t="shared" si="13"/>
        <v>1.7606372914323352</v>
      </c>
      <c r="G48" s="5">
        <f t="shared" si="13"/>
        <v>1.9651721307152608</v>
      </c>
      <c r="H48" s="5">
        <f t="shared" si="13"/>
        <v>2.1342341187537954</v>
      </c>
      <c r="I48" s="5">
        <f t="shared" si="13"/>
        <v>2.3112208874816371</v>
      </c>
      <c r="J48" s="5">
        <f t="shared" si="13"/>
        <v>2.4961324368987858</v>
      </c>
    </row>
    <row r="49" spans="3:4" x14ac:dyDescent="0.2">
      <c r="C49" s="2"/>
      <c r="D49" s="2"/>
    </row>
    <row r="50" spans="3:4" x14ac:dyDescent="0.2">
      <c r="C50" s="2"/>
      <c r="D50" s="2"/>
    </row>
    <row r="51" spans="3:4" x14ac:dyDescent="0.2">
      <c r="C51" s="2"/>
      <c r="D51" s="2"/>
    </row>
    <row r="52" spans="3:4" x14ac:dyDescent="0.2">
      <c r="C52" s="2"/>
      <c r="D52" s="2"/>
    </row>
    <row r="53" spans="3:4" x14ac:dyDescent="0.2">
      <c r="C53" s="2"/>
      <c r="D53" s="2"/>
    </row>
    <row r="54" spans="3:4" x14ac:dyDescent="0.2">
      <c r="C54" s="2"/>
      <c r="D54" s="2"/>
    </row>
    <row r="55" spans="3:4" x14ac:dyDescent="0.2">
      <c r="C55" s="2"/>
      <c r="D55" s="2"/>
    </row>
    <row r="56" spans="3:4" x14ac:dyDescent="0.2">
      <c r="C56" s="2"/>
      <c r="D56" s="2"/>
    </row>
    <row r="57" spans="3:4" x14ac:dyDescent="0.2">
      <c r="C57" s="2"/>
      <c r="D57" s="2"/>
    </row>
    <row r="58" spans="3:4" x14ac:dyDescent="0.2">
      <c r="C58" s="2"/>
      <c r="D58" s="2"/>
    </row>
    <row r="59" spans="3:4" x14ac:dyDescent="0.2">
      <c r="C59" s="2"/>
      <c r="D59" s="2"/>
    </row>
    <row r="60" spans="3:4" x14ac:dyDescent="0.2">
      <c r="C60" s="2"/>
      <c r="D60" s="2"/>
    </row>
    <row r="61" spans="3:4" x14ac:dyDescent="0.2">
      <c r="C61" s="2"/>
      <c r="D61" s="2"/>
    </row>
    <row r="62" spans="3:4" x14ac:dyDescent="0.2">
      <c r="C62" s="2"/>
      <c r="D62" s="2"/>
    </row>
    <row r="63" spans="3:4" x14ac:dyDescent="0.2">
      <c r="C63" s="2"/>
      <c r="D63" s="2"/>
    </row>
    <row r="64" spans="3:4" x14ac:dyDescent="0.2">
      <c r="C64" s="2"/>
      <c r="D64" s="2"/>
    </row>
    <row r="65" spans="3:4" x14ac:dyDescent="0.2">
      <c r="C65" s="2"/>
      <c r="D65" s="2"/>
    </row>
    <row r="66" spans="3:4" x14ac:dyDescent="0.2">
      <c r="C66" s="2"/>
      <c r="D66" s="2"/>
    </row>
    <row r="67" spans="3:4" x14ac:dyDescent="0.2">
      <c r="C67" s="10"/>
      <c r="D67" s="10"/>
    </row>
    <row r="68" spans="3:4" x14ac:dyDescent="0.2">
      <c r="C68" s="2"/>
      <c r="D68" s="2"/>
    </row>
    <row r="69" spans="3:4" x14ac:dyDescent="0.2">
      <c r="C69" s="10"/>
      <c r="D69" s="10"/>
    </row>
    <row r="70" spans="3:4" x14ac:dyDescent="0.2">
      <c r="C70" s="2"/>
      <c r="D70" s="2"/>
    </row>
    <row r="71" spans="3:4" x14ac:dyDescent="0.2">
      <c r="C71" s="10"/>
      <c r="D71" s="10"/>
    </row>
    <row r="72" spans="3:4" x14ac:dyDescent="0.2">
      <c r="C72" s="2"/>
      <c r="D72" s="2"/>
    </row>
    <row r="73" spans="3:4" x14ac:dyDescent="0.2">
      <c r="C73" s="2"/>
      <c r="D73" s="2"/>
    </row>
  </sheetData>
  <pageMargins left="0.39370078740157483" right="0.39370078740157483" top="0.39370078740157483" bottom="0.39370078740157483" header="0.39370078740157483" footer="0.39370078740157483"/>
  <pageSetup paperSize="9" scale="91" orientation="portrait"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C749BC-19BF-4069-A7FA-5251A9F84344}">
  <sheetPr>
    <pageSetUpPr fitToPage="1"/>
  </sheetPr>
  <dimension ref="A1:L73"/>
  <sheetViews>
    <sheetView zoomScaleNormal="100" workbookViewId="0">
      <selection activeCell="C3" sqref="C3"/>
    </sheetView>
  </sheetViews>
  <sheetFormatPr defaultColWidth="9.14453125" defaultRowHeight="15" x14ac:dyDescent="0.2"/>
  <cols>
    <col min="1" max="1" width="18.16015625" style="1" bestFit="1" customWidth="1"/>
    <col min="2" max="2" width="5.6484375" style="1" customWidth="1"/>
    <col min="3" max="10" width="18.16015625" style="1" bestFit="1" customWidth="1"/>
    <col min="11" max="12" width="13.85546875" style="1" bestFit="1" customWidth="1"/>
    <col min="13" max="16384" width="9.14453125" style="1"/>
  </cols>
  <sheetData>
    <row r="1" spans="1:12" ht="30" customHeight="1" x14ac:dyDescent="0.2">
      <c r="A1" s="1" t="s">
        <v>28</v>
      </c>
      <c r="C1" s="9" t="s">
        <v>30</v>
      </c>
      <c r="D1" s="9" t="s">
        <v>30</v>
      </c>
      <c r="E1" s="9" t="s">
        <v>30</v>
      </c>
      <c r="F1" s="9" t="s">
        <v>30</v>
      </c>
      <c r="G1" s="9" t="s">
        <v>30</v>
      </c>
      <c r="H1" s="9" t="s">
        <v>30</v>
      </c>
      <c r="I1" s="9" t="s">
        <v>30</v>
      </c>
      <c r="J1" s="9" t="s">
        <v>30</v>
      </c>
      <c r="K1" s="9"/>
      <c r="L1" s="9"/>
    </row>
    <row r="2" spans="1:12" x14ac:dyDescent="0.2">
      <c r="A2" s="1" t="s">
        <v>0</v>
      </c>
      <c r="C2" s="1" t="s">
        <v>43</v>
      </c>
      <c r="D2" s="1" t="s">
        <v>43</v>
      </c>
      <c r="E2" s="1" t="s">
        <v>43</v>
      </c>
      <c r="F2" s="1" t="s">
        <v>43</v>
      </c>
      <c r="G2" s="1" t="s">
        <v>43</v>
      </c>
      <c r="H2" s="1" t="s">
        <v>43</v>
      </c>
      <c r="I2" s="1" t="s">
        <v>43</v>
      </c>
      <c r="J2" s="1" t="s">
        <v>43</v>
      </c>
    </row>
    <row r="3" spans="1:12" x14ac:dyDescent="0.2">
      <c r="A3" s="1" t="s">
        <v>1</v>
      </c>
      <c r="C3" s="1">
        <v>175</v>
      </c>
      <c r="D3" s="1">
        <v>175</v>
      </c>
      <c r="E3" s="1">
        <v>175</v>
      </c>
      <c r="F3" s="1">
        <v>175</v>
      </c>
      <c r="G3" s="1">
        <v>175</v>
      </c>
      <c r="H3" s="1">
        <v>175</v>
      </c>
      <c r="I3" s="1">
        <v>175</v>
      </c>
      <c r="J3" s="1">
        <v>175</v>
      </c>
    </row>
    <row r="4" spans="1:12" x14ac:dyDescent="0.2">
      <c r="C4" s="1" t="s">
        <v>23</v>
      </c>
      <c r="D4" s="1" t="s">
        <v>24</v>
      </c>
      <c r="E4" s="1" t="s">
        <v>25</v>
      </c>
      <c r="F4" s="1" t="s">
        <v>26</v>
      </c>
      <c r="G4" s="1" t="s">
        <v>27</v>
      </c>
      <c r="H4" s="1" t="s">
        <v>33</v>
      </c>
      <c r="I4" s="1" t="s">
        <v>34</v>
      </c>
      <c r="J4" s="1" t="s">
        <v>35</v>
      </c>
    </row>
    <row r="6" spans="1:12" x14ac:dyDescent="0.2">
      <c r="A6" s="1" t="s">
        <v>10</v>
      </c>
      <c r="C6" s="1">
        <v>18</v>
      </c>
      <c r="D6" s="1">
        <v>20</v>
      </c>
      <c r="E6" s="1">
        <v>22</v>
      </c>
      <c r="F6" s="1">
        <v>24</v>
      </c>
      <c r="G6" s="1">
        <v>26</v>
      </c>
      <c r="H6" s="1">
        <v>28</v>
      </c>
      <c r="I6" s="1">
        <v>30</v>
      </c>
      <c r="J6" s="1">
        <v>32</v>
      </c>
    </row>
    <row r="7" spans="1:12" x14ac:dyDescent="0.2">
      <c r="A7" s="1" t="s">
        <v>12</v>
      </c>
      <c r="C7" s="1">
        <v>27</v>
      </c>
      <c r="D7" s="1">
        <v>28</v>
      </c>
      <c r="E7" s="1">
        <v>29</v>
      </c>
      <c r="F7" s="1">
        <v>30</v>
      </c>
      <c r="G7" s="1">
        <v>32</v>
      </c>
      <c r="H7" s="1">
        <v>33</v>
      </c>
      <c r="I7" s="1">
        <v>34</v>
      </c>
      <c r="J7" s="1">
        <v>35</v>
      </c>
    </row>
    <row r="8" spans="1:12" x14ac:dyDescent="0.2">
      <c r="A8" s="1" t="s">
        <v>11</v>
      </c>
      <c r="C8" s="1">
        <v>8</v>
      </c>
      <c r="D8" s="1">
        <v>8.5</v>
      </c>
      <c r="E8" s="1">
        <v>9</v>
      </c>
      <c r="F8" s="1">
        <v>9.5</v>
      </c>
      <c r="G8" s="1">
        <v>10</v>
      </c>
      <c r="H8" s="1">
        <v>10.5</v>
      </c>
      <c r="I8" s="1">
        <v>11</v>
      </c>
      <c r="J8" s="1">
        <v>11.5</v>
      </c>
    </row>
    <row r="10" spans="1:12" x14ac:dyDescent="0.2">
      <c r="A10" s="1" t="s">
        <v>14</v>
      </c>
      <c r="C10" s="7">
        <f>(C6+1)*(C7+C8+3)*2*2.54*2.54/10000*C3</f>
        <v>163.03193200000004</v>
      </c>
      <c r="D10" s="7">
        <f t="shared" ref="D10:J10" si="0">(D6+1)*(D7+D8+3)*2*2.54*2.54/10000*D3</f>
        <v>187.30607699999999</v>
      </c>
      <c r="E10" s="7">
        <f t="shared" si="0"/>
        <v>212.93505800000003</v>
      </c>
      <c r="F10" s="7">
        <f t="shared" si="0"/>
        <v>239.91887499999999</v>
      </c>
      <c r="G10" s="7">
        <f t="shared" si="0"/>
        <v>274.35428999999999</v>
      </c>
      <c r="H10" s="7">
        <f t="shared" si="0"/>
        <v>304.49939099999995</v>
      </c>
      <c r="I10" s="7">
        <f t="shared" si="0"/>
        <v>335.99932799999999</v>
      </c>
      <c r="J10" s="7">
        <f t="shared" si="0"/>
        <v>368.85410100000007</v>
      </c>
      <c r="K10" s="7"/>
      <c r="L10" s="7"/>
    </row>
    <row r="11" spans="1:12" x14ac:dyDescent="0.2">
      <c r="A11" s="1" t="s">
        <v>21</v>
      </c>
      <c r="C11" s="7">
        <v>6</v>
      </c>
      <c r="D11" s="7">
        <v>6</v>
      </c>
      <c r="E11" s="7">
        <v>6</v>
      </c>
      <c r="F11" s="7">
        <v>6</v>
      </c>
      <c r="G11" s="7">
        <v>6</v>
      </c>
      <c r="H11" s="7">
        <v>6</v>
      </c>
      <c r="I11" s="7">
        <v>6</v>
      </c>
      <c r="J11" s="7">
        <v>6</v>
      </c>
      <c r="K11" s="7"/>
      <c r="L11" s="7"/>
    </row>
    <row r="12" spans="1:12" x14ac:dyDescent="0.2">
      <c r="A12" s="1" t="s">
        <v>13</v>
      </c>
      <c r="C12" s="7">
        <v>6</v>
      </c>
      <c r="D12" s="7">
        <v>6</v>
      </c>
      <c r="E12" s="7">
        <v>6</v>
      </c>
      <c r="F12" s="7">
        <v>6</v>
      </c>
      <c r="G12" s="7">
        <v>8</v>
      </c>
      <c r="H12" s="7">
        <v>8</v>
      </c>
      <c r="I12" s="7">
        <v>8</v>
      </c>
      <c r="J12" s="7">
        <v>8</v>
      </c>
      <c r="K12" s="7"/>
      <c r="L12" s="7"/>
    </row>
    <row r="14" spans="1:12" x14ac:dyDescent="0.2">
      <c r="A14" s="1" t="s">
        <v>15</v>
      </c>
      <c r="C14" s="7">
        <f t="shared" ref="C14:J14" si="1">SUM(C10:C13)</f>
        <v>175.03193200000004</v>
      </c>
      <c r="D14" s="7">
        <f t="shared" si="1"/>
        <v>199.30607699999999</v>
      </c>
      <c r="E14" s="7">
        <f t="shared" si="1"/>
        <v>224.93505800000003</v>
      </c>
      <c r="F14" s="7">
        <f t="shared" si="1"/>
        <v>251.91887499999999</v>
      </c>
      <c r="G14" s="7">
        <f t="shared" si="1"/>
        <v>288.35428999999999</v>
      </c>
      <c r="H14" s="7">
        <f t="shared" si="1"/>
        <v>318.49939099999995</v>
      </c>
      <c r="I14" s="7">
        <f t="shared" si="1"/>
        <v>349.99932799999999</v>
      </c>
      <c r="J14" s="7">
        <f t="shared" si="1"/>
        <v>382.85410100000007</v>
      </c>
      <c r="K14" s="7"/>
      <c r="L14" s="7"/>
    </row>
    <row r="16" spans="1:12" x14ac:dyDescent="0.2">
      <c r="A16" s="1" t="s">
        <v>16</v>
      </c>
      <c r="C16" s="7">
        <v>272</v>
      </c>
      <c r="D16" s="7">
        <v>272</v>
      </c>
      <c r="E16" s="7">
        <v>272</v>
      </c>
      <c r="F16" s="7">
        <v>272</v>
      </c>
      <c r="G16" s="7">
        <v>272</v>
      </c>
      <c r="H16" s="7">
        <v>272</v>
      </c>
      <c r="I16" s="7">
        <v>272</v>
      </c>
      <c r="J16" s="7">
        <v>272</v>
      </c>
      <c r="K16" s="7"/>
      <c r="L16" s="7"/>
    </row>
    <row r="17" spans="1:12" x14ac:dyDescent="0.2">
      <c r="A17" s="1" t="s">
        <v>7</v>
      </c>
      <c r="C17" s="7">
        <v>10</v>
      </c>
      <c r="D17" s="7">
        <v>10</v>
      </c>
      <c r="E17" s="7">
        <v>10</v>
      </c>
      <c r="F17" s="7">
        <v>10</v>
      </c>
      <c r="G17" s="7">
        <v>10</v>
      </c>
      <c r="H17" s="7">
        <v>10</v>
      </c>
      <c r="I17" s="7">
        <v>10</v>
      </c>
      <c r="J17" s="7">
        <v>10</v>
      </c>
      <c r="K17" s="7"/>
      <c r="L17" s="7"/>
    </row>
    <row r="18" spans="1:12" x14ac:dyDescent="0.2">
      <c r="A18" s="1" t="s">
        <v>37</v>
      </c>
      <c r="C18" s="7">
        <v>40</v>
      </c>
      <c r="D18" s="7">
        <v>40</v>
      </c>
      <c r="E18" s="7">
        <v>40</v>
      </c>
      <c r="F18" s="7">
        <v>40</v>
      </c>
      <c r="G18" s="7">
        <v>40</v>
      </c>
      <c r="H18" s="7">
        <v>40</v>
      </c>
      <c r="I18" s="7">
        <v>40</v>
      </c>
      <c r="J18" s="7">
        <v>40</v>
      </c>
      <c r="K18" s="7"/>
      <c r="L18" s="7"/>
    </row>
    <row r="19" spans="1:12" x14ac:dyDescent="0.2">
      <c r="A19" s="1" t="s">
        <v>38</v>
      </c>
      <c r="C19" s="7">
        <v>18</v>
      </c>
      <c r="D19" s="7">
        <v>18</v>
      </c>
      <c r="E19" s="7">
        <v>18</v>
      </c>
      <c r="F19" s="7">
        <v>18</v>
      </c>
      <c r="G19" s="7">
        <v>18</v>
      </c>
      <c r="H19" s="7">
        <v>18</v>
      </c>
      <c r="I19" s="7">
        <v>18</v>
      </c>
      <c r="J19" s="7">
        <v>18</v>
      </c>
      <c r="K19" s="7"/>
      <c r="L19" s="7"/>
    </row>
    <row r="20" spans="1:12" x14ac:dyDescent="0.2">
      <c r="A20" s="1" t="s">
        <v>8</v>
      </c>
      <c r="C20" s="7">
        <v>9</v>
      </c>
      <c r="D20" s="7">
        <v>9</v>
      </c>
      <c r="E20" s="7">
        <v>9</v>
      </c>
      <c r="F20" s="7">
        <v>9</v>
      </c>
      <c r="G20" s="7">
        <v>9</v>
      </c>
      <c r="H20" s="7">
        <v>9</v>
      </c>
      <c r="I20" s="7">
        <v>9</v>
      </c>
      <c r="J20" s="7">
        <v>9</v>
      </c>
      <c r="K20" s="7"/>
      <c r="L20" s="7"/>
    </row>
    <row r="21" spans="1:12" x14ac:dyDescent="0.2">
      <c r="C21" s="7"/>
      <c r="D21" s="7"/>
      <c r="E21" s="7"/>
      <c r="F21" s="7"/>
      <c r="G21" s="7"/>
      <c r="H21" s="7"/>
      <c r="I21" s="7"/>
      <c r="J21" s="7"/>
      <c r="K21" s="7"/>
      <c r="L21" s="7"/>
    </row>
    <row r="22" spans="1:12" x14ac:dyDescent="0.2">
      <c r="A22" s="1" t="s">
        <v>2</v>
      </c>
      <c r="C22" s="7">
        <f t="shared" ref="C22:J22" si="2">SUM(C16:C21)</f>
        <v>349</v>
      </c>
      <c r="D22" s="7">
        <f t="shared" si="2"/>
        <v>349</v>
      </c>
      <c r="E22" s="7">
        <f t="shared" si="2"/>
        <v>349</v>
      </c>
      <c r="F22" s="7">
        <f t="shared" si="2"/>
        <v>349</v>
      </c>
      <c r="G22" s="7">
        <f t="shared" si="2"/>
        <v>349</v>
      </c>
      <c r="H22" s="7">
        <f t="shared" si="2"/>
        <v>349</v>
      </c>
      <c r="I22" s="7">
        <f t="shared" si="2"/>
        <v>349</v>
      </c>
      <c r="J22" s="7">
        <f t="shared" si="2"/>
        <v>349</v>
      </c>
      <c r="K22" s="7"/>
      <c r="L22" s="7"/>
    </row>
    <row r="23" spans="1:12" x14ac:dyDescent="0.2">
      <c r="A23" s="1" t="s">
        <v>32</v>
      </c>
      <c r="C23" s="7">
        <f>C22*6%</f>
        <v>20.939999999999998</v>
      </c>
      <c r="D23" s="7">
        <f t="shared" ref="D23:J23" si="3">D22*6%</f>
        <v>20.939999999999998</v>
      </c>
      <c r="E23" s="7">
        <f t="shared" si="3"/>
        <v>20.939999999999998</v>
      </c>
      <c r="F23" s="7">
        <f t="shared" si="3"/>
        <v>20.939999999999998</v>
      </c>
      <c r="G23" s="7">
        <f t="shared" si="3"/>
        <v>20.939999999999998</v>
      </c>
      <c r="H23" s="7">
        <f t="shared" si="3"/>
        <v>20.939999999999998</v>
      </c>
      <c r="I23" s="7">
        <f t="shared" si="3"/>
        <v>20.939999999999998</v>
      </c>
      <c r="J23" s="7">
        <f t="shared" si="3"/>
        <v>20.939999999999998</v>
      </c>
      <c r="K23" s="7"/>
      <c r="L23" s="7"/>
    </row>
    <row r="24" spans="1:12" x14ac:dyDescent="0.2">
      <c r="C24" s="7"/>
      <c r="D24" s="7"/>
      <c r="E24" s="7"/>
      <c r="F24" s="7"/>
      <c r="G24" s="7"/>
      <c r="H24" s="7"/>
      <c r="I24" s="7"/>
      <c r="J24" s="7"/>
      <c r="K24" s="7"/>
      <c r="L24" s="7"/>
    </row>
    <row r="25" spans="1:12" s="3" customFormat="1" x14ac:dyDescent="0.2">
      <c r="A25" s="8" t="s">
        <v>3</v>
      </c>
      <c r="B25" s="8"/>
      <c r="C25" s="7">
        <f t="shared" ref="C25:J25" si="4">SUM(C22:C24)</f>
        <v>369.94</v>
      </c>
      <c r="D25" s="7">
        <f t="shared" si="4"/>
        <v>369.94</v>
      </c>
      <c r="E25" s="7">
        <f t="shared" si="4"/>
        <v>369.94</v>
      </c>
      <c r="F25" s="7">
        <f t="shared" si="4"/>
        <v>369.94</v>
      </c>
      <c r="G25" s="7">
        <f t="shared" si="4"/>
        <v>369.94</v>
      </c>
      <c r="H25" s="7">
        <f t="shared" si="4"/>
        <v>369.94</v>
      </c>
      <c r="I25" s="7">
        <f t="shared" si="4"/>
        <v>369.94</v>
      </c>
      <c r="J25" s="7">
        <f t="shared" si="4"/>
        <v>369.94</v>
      </c>
      <c r="K25" s="7"/>
      <c r="L25" s="7"/>
    </row>
    <row r="26" spans="1:12" x14ac:dyDescent="0.2">
      <c r="C26" s="7"/>
      <c r="D26" s="7"/>
      <c r="E26" s="7"/>
      <c r="F26" s="7"/>
      <c r="G26" s="7"/>
      <c r="H26" s="7"/>
      <c r="I26" s="7"/>
      <c r="J26" s="7"/>
      <c r="K26" s="7"/>
      <c r="L26" s="7"/>
    </row>
    <row r="27" spans="1:12" x14ac:dyDescent="0.2">
      <c r="A27" s="1" t="s">
        <v>4</v>
      </c>
      <c r="C27" s="2">
        <f>C25*C14/1000</f>
        <v>64.751312924080011</v>
      </c>
      <c r="D27" s="2">
        <f t="shared" ref="D27:J27" si="5">D25*D14/1000</f>
        <v>73.731290125379999</v>
      </c>
      <c r="E27" s="2">
        <f t="shared" si="5"/>
        <v>83.212475356520002</v>
      </c>
      <c r="F27" s="2">
        <f t="shared" si="5"/>
        <v>93.194868617499992</v>
      </c>
      <c r="G27" s="2">
        <f t="shared" si="5"/>
        <v>106.6737860426</v>
      </c>
      <c r="H27" s="2">
        <f t="shared" si="5"/>
        <v>117.82566470653997</v>
      </c>
      <c r="I27" s="2">
        <f t="shared" si="5"/>
        <v>129.47875140031999</v>
      </c>
      <c r="J27" s="2">
        <f t="shared" si="5"/>
        <v>141.63304612394003</v>
      </c>
      <c r="K27" s="2"/>
      <c r="L27" s="2"/>
    </row>
    <row r="28" spans="1:12" x14ac:dyDescent="0.2">
      <c r="A28" s="1" t="s">
        <v>5</v>
      </c>
      <c r="C28" s="2">
        <v>16</v>
      </c>
      <c r="D28" s="2">
        <v>16</v>
      </c>
      <c r="E28" s="2">
        <v>16</v>
      </c>
      <c r="F28" s="2">
        <v>16</v>
      </c>
      <c r="G28" s="2">
        <v>16</v>
      </c>
      <c r="H28" s="2">
        <v>16</v>
      </c>
      <c r="I28" s="2">
        <v>16</v>
      </c>
      <c r="J28" s="2">
        <v>16</v>
      </c>
      <c r="K28" s="2"/>
      <c r="L28" s="2"/>
    </row>
    <row r="29" spans="1:12" x14ac:dyDescent="0.2">
      <c r="A29" s="1" t="s">
        <v>22</v>
      </c>
      <c r="C29" s="2">
        <v>0.45</v>
      </c>
      <c r="D29" s="2">
        <v>0.45</v>
      </c>
      <c r="E29" s="2">
        <v>0.45</v>
      </c>
      <c r="F29" s="2">
        <v>0.45</v>
      </c>
      <c r="G29" s="2">
        <v>0.45</v>
      </c>
      <c r="H29" s="2">
        <v>0.45</v>
      </c>
      <c r="I29" s="2">
        <v>0.45</v>
      </c>
      <c r="J29" s="2">
        <v>0.45</v>
      </c>
      <c r="K29" s="2"/>
      <c r="L29" s="2"/>
    </row>
    <row r="30" spans="1:12" x14ac:dyDescent="0.2">
      <c r="A30" s="1" t="s">
        <v>17</v>
      </c>
      <c r="C30" s="2">
        <v>0.4</v>
      </c>
      <c r="D30" s="2">
        <v>0.4</v>
      </c>
      <c r="E30" s="2">
        <v>0.4</v>
      </c>
      <c r="F30" s="2">
        <v>0.4</v>
      </c>
      <c r="G30" s="2">
        <v>0.4</v>
      </c>
      <c r="H30" s="2">
        <v>0.4</v>
      </c>
      <c r="I30" s="2">
        <v>0.4</v>
      </c>
      <c r="J30" s="2">
        <v>0.4</v>
      </c>
      <c r="K30" s="2"/>
      <c r="L30" s="2"/>
    </row>
    <row r="31" spans="1:12" x14ac:dyDescent="0.2">
      <c r="A31" s="1" t="s">
        <v>18</v>
      </c>
      <c r="C31" s="2">
        <v>1</v>
      </c>
      <c r="D31" s="2">
        <v>1</v>
      </c>
      <c r="E31" s="2">
        <v>1</v>
      </c>
      <c r="F31" s="2">
        <v>1</v>
      </c>
      <c r="G31" s="2">
        <v>1</v>
      </c>
      <c r="H31" s="2">
        <v>1</v>
      </c>
      <c r="I31" s="2">
        <v>1</v>
      </c>
      <c r="J31" s="2">
        <v>1</v>
      </c>
      <c r="K31" s="2"/>
      <c r="L31" s="2"/>
    </row>
    <row r="32" spans="1:12" x14ac:dyDescent="0.2">
      <c r="A32" s="1" t="s">
        <v>9</v>
      </c>
      <c r="C32" s="2">
        <v>1</v>
      </c>
      <c r="D32" s="2">
        <v>1</v>
      </c>
      <c r="E32" s="2">
        <v>1</v>
      </c>
      <c r="F32" s="2">
        <v>1</v>
      </c>
      <c r="G32" s="2">
        <v>1</v>
      </c>
      <c r="H32" s="2">
        <v>1</v>
      </c>
      <c r="I32" s="2">
        <v>1</v>
      </c>
      <c r="J32" s="2">
        <v>1</v>
      </c>
      <c r="K32" s="2"/>
      <c r="L32" s="2"/>
    </row>
    <row r="33" spans="1:12" x14ac:dyDescent="0.2">
      <c r="A33" s="1" t="s">
        <v>20</v>
      </c>
      <c r="C33" s="2">
        <v>1.5</v>
      </c>
      <c r="D33" s="2">
        <v>1.5</v>
      </c>
      <c r="E33" s="2">
        <v>1.5</v>
      </c>
      <c r="F33" s="2">
        <v>1.5</v>
      </c>
      <c r="G33" s="2">
        <v>1.5</v>
      </c>
      <c r="H33" s="2">
        <v>1.5</v>
      </c>
      <c r="I33" s="2">
        <v>1.5</v>
      </c>
      <c r="J33" s="2">
        <v>1.5</v>
      </c>
      <c r="K33" s="2"/>
      <c r="L33" s="2"/>
    </row>
    <row r="34" spans="1:12" x14ac:dyDescent="0.2">
      <c r="C34" s="2"/>
      <c r="D34" s="2"/>
      <c r="E34" s="2"/>
      <c r="F34" s="2"/>
      <c r="G34" s="2"/>
      <c r="H34" s="2"/>
      <c r="I34" s="2"/>
      <c r="J34" s="2"/>
      <c r="K34" s="2"/>
      <c r="L34" s="2"/>
    </row>
    <row r="35" spans="1:12" x14ac:dyDescent="0.2">
      <c r="A35" s="1" t="s">
        <v>2</v>
      </c>
      <c r="C35" s="2">
        <f>SUM(C27:C34)</f>
        <v>85.10131292408002</v>
      </c>
      <c r="D35" s="2">
        <f t="shared" ref="D35:J35" si="6">SUM(D27:D34)</f>
        <v>94.081290125380008</v>
      </c>
      <c r="E35" s="2">
        <f t="shared" si="6"/>
        <v>103.56247535652001</v>
      </c>
      <c r="F35" s="2">
        <f t="shared" si="6"/>
        <v>113.5448686175</v>
      </c>
      <c r="G35" s="2">
        <f t="shared" si="6"/>
        <v>127.02378604260001</v>
      </c>
      <c r="H35" s="2">
        <f t="shared" si="6"/>
        <v>138.17566470653995</v>
      </c>
      <c r="I35" s="2">
        <f t="shared" si="6"/>
        <v>149.82875140031999</v>
      </c>
      <c r="J35" s="2">
        <f t="shared" si="6"/>
        <v>161.98304612394003</v>
      </c>
      <c r="K35" s="2"/>
      <c r="L35" s="2"/>
    </row>
    <row r="36" spans="1:12" x14ac:dyDescent="0.2">
      <c r="A36" s="1" t="s">
        <v>19</v>
      </c>
      <c r="C36" s="2">
        <f t="shared" ref="C36:J36" si="7">C35*1%</f>
        <v>0.85101312924080019</v>
      </c>
      <c r="D36" s="2">
        <f t="shared" si="7"/>
        <v>0.94081290125380013</v>
      </c>
      <c r="E36" s="2">
        <f t="shared" si="7"/>
        <v>1.0356247535652001</v>
      </c>
      <c r="F36" s="2">
        <f t="shared" si="7"/>
        <v>1.1354486861749999</v>
      </c>
      <c r="G36" s="2">
        <f t="shared" si="7"/>
        <v>1.2702378604260001</v>
      </c>
      <c r="H36" s="2">
        <f t="shared" si="7"/>
        <v>1.3817566470653995</v>
      </c>
      <c r="I36" s="2">
        <f t="shared" si="7"/>
        <v>1.4982875140031999</v>
      </c>
      <c r="J36" s="2">
        <f t="shared" si="7"/>
        <v>1.6198304612394003</v>
      </c>
      <c r="K36" s="2"/>
      <c r="L36" s="2"/>
    </row>
    <row r="37" spans="1:12" x14ac:dyDescent="0.2">
      <c r="C37" s="2"/>
      <c r="D37" s="2"/>
      <c r="E37" s="2"/>
      <c r="F37" s="2"/>
      <c r="G37" s="2"/>
      <c r="H37" s="2"/>
      <c r="I37" s="2"/>
      <c r="J37" s="2"/>
      <c r="K37" s="2"/>
      <c r="L37" s="2"/>
    </row>
    <row r="38" spans="1:12" x14ac:dyDescent="0.2">
      <c r="A38" s="1" t="s">
        <v>2</v>
      </c>
      <c r="C38" s="2">
        <f t="shared" ref="C38:J38" si="8">SUM(C35:C37)</f>
        <v>85.952326053320817</v>
      </c>
      <c r="D38" s="2">
        <f t="shared" si="8"/>
        <v>95.022103026633815</v>
      </c>
      <c r="E38" s="2">
        <f t="shared" si="8"/>
        <v>104.59810011008521</v>
      </c>
      <c r="F38" s="2">
        <f t="shared" si="8"/>
        <v>114.680317303675</v>
      </c>
      <c r="G38" s="2">
        <f t="shared" si="8"/>
        <v>128.29402390302602</v>
      </c>
      <c r="H38" s="2">
        <f t="shared" si="8"/>
        <v>139.55742135360535</v>
      </c>
      <c r="I38" s="2">
        <f t="shared" si="8"/>
        <v>151.3270389143232</v>
      </c>
      <c r="J38" s="2">
        <f t="shared" si="8"/>
        <v>163.60287658517942</v>
      </c>
      <c r="K38" s="2"/>
      <c r="L38" s="2"/>
    </row>
    <row r="39" spans="1:12" x14ac:dyDescent="0.2">
      <c r="A39" s="1" t="s">
        <v>42</v>
      </c>
      <c r="C39" s="2">
        <f>C38*20%</f>
        <v>17.190465210664165</v>
      </c>
      <c r="D39" s="2">
        <f t="shared" ref="D39:J39" si="9">D38*20%</f>
        <v>19.004420605326764</v>
      </c>
      <c r="E39" s="2">
        <f t="shared" si="9"/>
        <v>20.919620022017043</v>
      </c>
      <c r="F39" s="2">
        <f t="shared" si="9"/>
        <v>22.936063460734999</v>
      </c>
      <c r="G39" s="2">
        <f t="shared" si="9"/>
        <v>25.658804780605205</v>
      </c>
      <c r="H39" s="2">
        <f t="shared" si="9"/>
        <v>27.911484270721072</v>
      </c>
      <c r="I39" s="2">
        <f t="shared" si="9"/>
        <v>30.265407782864642</v>
      </c>
      <c r="J39" s="2">
        <f t="shared" si="9"/>
        <v>32.720575317035888</v>
      </c>
      <c r="K39" s="2"/>
      <c r="L39" s="2"/>
    </row>
    <row r="40" spans="1:12" x14ac:dyDescent="0.2">
      <c r="C40" s="2"/>
      <c r="D40" s="2"/>
      <c r="E40" s="2"/>
      <c r="F40" s="2"/>
      <c r="G40" s="2"/>
      <c r="H40" s="2"/>
      <c r="I40" s="2"/>
      <c r="J40" s="2"/>
      <c r="K40" s="2"/>
      <c r="L40" s="2"/>
    </row>
    <row r="41" spans="1:12" x14ac:dyDescent="0.2">
      <c r="A41" s="1" t="s">
        <v>6</v>
      </c>
      <c r="C41" s="2">
        <f t="shared" ref="C41:J41" si="10">SUM(C38:C40)</f>
        <v>103.14279126398498</v>
      </c>
      <c r="D41" s="2">
        <f t="shared" si="10"/>
        <v>114.02652363196057</v>
      </c>
      <c r="E41" s="2">
        <f t="shared" si="10"/>
        <v>125.51772013210226</v>
      </c>
      <c r="F41" s="2">
        <f t="shared" si="10"/>
        <v>137.61638076441</v>
      </c>
      <c r="G41" s="2">
        <f t="shared" si="10"/>
        <v>153.95282868363122</v>
      </c>
      <c r="H41" s="2">
        <f t="shared" si="10"/>
        <v>167.46890562432642</v>
      </c>
      <c r="I41" s="2">
        <f t="shared" si="10"/>
        <v>181.59244669718782</v>
      </c>
      <c r="J41" s="2">
        <f t="shared" si="10"/>
        <v>196.32345190221531</v>
      </c>
      <c r="K41" s="2"/>
      <c r="L41" s="2"/>
    </row>
    <row r="42" spans="1:12" x14ac:dyDescent="0.2">
      <c r="C42" s="2"/>
      <c r="D42" s="2"/>
      <c r="E42" s="2"/>
      <c r="F42" s="2"/>
      <c r="G42" s="2"/>
      <c r="H42" s="2"/>
      <c r="I42" s="2"/>
      <c r="J42" s="2"/>
      <c r="K42" s="2"/>
      <c r="L42" s="2"/>
    </row>
    <row r="43" spans="1:12" s="6" customFormat="1" x14ac:dyDescent="0.2">
      <c r="A43" s="6" t="s">
        <v>29</v>
      </c>
      <c r="C43" s="5">
        <f>C41/85</f>
        <v>1.2134446031057056</v>
      </c>
      <c r="D43" s="5">
        <f t="shared" ref="D43:J43" si="11">D41/85</f>
        <v>1.3414885133171832</v>
      </c>
      <c r="E43" s="5">
        <f t="shared" si="11"/>
        <v>1.4766790603776736</v>
      </c>
      <c r="F43" s="5">
        <f t="shared" si="11"/>
        <v>1.6190162442871765</v>
      </c>
      <c r="G43" s="5">
        <f t="shared" si="11"/>
        <v>1.811209749219191</v>
      </c>
      <c r="H43" s="5">
        <f t="shared" si="11"/>
        <v>1.9702224191097226</v>
      </c>
      <c r="I43" s="5">
        <f t="shared" si="11"/>
        <v>2.1363817258492683</v>
      </c>
      <c r="J43" s="5">
        <f t="shared" si="11"/>
        <v>2.3096876694378272</v>
      </c>
      <c r="K43" s="5"/>
      <c r="L43" s="5"/>
    </row>
    <row r="44" spans="1:12" s="6" customFormat="1" x14ac:dyDescent="0.2">
      <c r="C44" s="5"/>
      <c r="D44" s="5"/>
      <c r="E44" s="5"/>
      <c r="F44" s="5"/>
      <c r="G44" s="5"/>
      <c r="H44" s="5"/>
      <c r="I44" s="5"/>
      <c r="J44" s="5"/>
      <c r="K44" s="5"/>
      <c r="L44" s="5"/>
    </row>
    <row r="45" spans="1:12" x14ac:dyDescent="0.2">
      <c r="A45" s="6" t="s">
        <v>39</v>
      </c>
      <c r="B45" s="6"/>
      <c r="C45" s="5">
        <v>7.0000000000000007E-2</v>
      </c>
      <c r="D45" s="5">
        <v>7.0000000000000007E-2</v>
      </c>
      <c r="E45" s="5">
        <v>7.0000000000000007E-2</v>
      </c>
      <c r="F45" s="5">
        <v>7.0000000000000007E-2</v>
      </c>
      <c r="G45" s="5">
        <v>7.0000000000000007E-2</v>
      </c>
      <c r="H45" s="5">
        <v>7.0000000000000007E-2</v>
      </c>
      <c r="I45" s="5">
        <v>7.0000000000000007E-2</v>
      </c>
      <c r="J45" s="5">
        <v>7.0000000000000007E-2</v>
      </c>
      <c r="K45" s="2"/>
      <c r="L45" s="2"/>
    </row>
    <row r="46" spans="1:12" x14ac:dyDescent="0.2">
      <c r="A46" s="1" t="s">
        <v>40</v>
      </c>
      <c r="C46" s="2">
        <f>0.3*34.5%</f>
        <v>0.10349999999999999</v>
      </c>
      <c r="D46" s="2">
        <f t="shared" ref="D46:J46" si="12">0.3*34.5%</f>
        <v>0.10349999999999999</v>
      </c>
      <c r="E46" s="2">
        <f t="shared" si="12"/>
        <v>0.10349999999999999</v>
      </c>
      <c r="F46" s="2">
        <f t="shared" si="12"/>
        <v>0.10349999999999999</v>
      </c>
      <c r="G46" s="2">
        <f t="shared" si="12"/>
        <v>0.10349999999999999</v>
      </c>
      <c r="H46" s="2">
        <f t="shared" si="12"/>
        <v>0.10349999999999999</v>
      </c>
      <c r="I46" s="2">
        <f t="shared" si="12"/>
        <v>0.10349999999999999</v>
      </c>
      <c r="J46" s="2">
        <f t="shared" si="12"/>
        <v>0.10349999999999999</v>
      </c>
      <c r="K46" s="2"/>
      <c r="L46" s="2"/>
    </row>
    <row r="47" spans="1:12" x14ac:dyDescent="0.2">
      <c r="C47" s="2"/>
      <c r="D47" s="2"/>
    </row>
    <row r="48" spans="1:12" x14ac:dyDescent="0.2">
      <c r="A48" s="1" t="s">
        <v>41</v>
      </c>
      <c r="C48" s="2">
        <f>SUM(C43:C47)</f>
        <v>1.3869446031057056</v>
      </c>
      <c r="D48" s="2">
        <f t="shared" ref="D48:J48" si="13">SUM(D43:D47)</f>
        <v>1.5149885133171832</v>
      </c>
      <c r="E48" s="2">
        <f t="shared" si="13"/>
        <v>1.6501790603776736</v>
      </c>
      <c r="F48" s="2">
        <f t="shared" si="13"/>
        <v>1.7925162442871765</v>
      </c>
      <c r="G48" s="2">
        <f t="shared" si="13"/>
        <v>1.984709749219191</v>
      </c>
      <c r="H48" s="2">
        <f t="shared" si="13"/>
        <v>2.1437224191097224</v>
      </c>
      <c r="I48" s="2">
        <f t="shared" si="13"/>
        <v>2.3098817258492681</v>
      </c>
      <c r="J48" s="2">
        <f t="shared" si="13"/>
        <v>2.483187669437827</v>
      </c>
    </row>
    <row r="49" spans="3:4" x14ac:dyDescent="0.2">
      <c r="C49" s="2"/>
      <c r="D49" s="2"/>
    </row>
    <row r="50" spans="3:4" x14ac:dyDescent="0.2">
      <c r="C50" s="2"/>
      <c r="D50" s="2"/>
    </row>
    <row r="51" spans="3:4" x14ac:dyDescent="0.2">
      <c r="C51" s="2"/>
      <c r="D51" s="2"/>
    </row>
    <row r="52" spans="3:4" x14ac:dyDescent="0.2">
      <c r="C52" s="2"/>
      <c r="D52" s="2"/>
    </row>
    <row r="53" spans="3:4" x14ac:dyDescent="0.2">
      <c r="C53" s="2"/>
      <c r="D53" s="2"/>
    </row>
    <row r="54" spans="3:4" x14ac:dyDescent="0.2">
      <c r="C54" s="2"/>
      <c r="D54" s="2"/>
    </row>
    <row r="55" spans="3:4" x14ac:dyDescent="0.2">
      <c r="C55" s="2"/>
      <c r="D55" s="2"/>
    </row>
    <row r="56" spans="3:4" x14ac:dyDescent="0.2">
      <c r="C56" s="2"/>
      <c r="D56" s="2"/>
    </row>
    <row r="57" spans="3:4" x14ac:dyDescent="0.2">
      <c r="C57" s="2"/>
      <c r="D57" s="2"/>
    </row>
    <row r="58" spans="3:4" x14ac:dyDescent="0.2">
      <c r="C58" s="2"/>
      <c r="D58" s="2"/>
    </row>
    <row r="59" spans="3:4" x14ac:dyDescent="0.2">
      <c r="C59" s="2"/>
      <c r="D59" s="2"/>
    </row>
    <row r="60" spans="3:4" x14ac:dyDescent="0.2">
      <c r="C60" s="2"/>
      <c r="D60" s="2"/>
    </row>
    <row r="61" spans="3:4" x14ac:dyDescent="0.2">
      <c r="C61" s="2"/>
      <c r="D61" s="2"/>
    </row>
    <row r="62" spans="3:4" x14ac:dyDescent="0.2">
      <c r="C62" s="2"/>
      <c r="D62" s="2"/>
    </row>
    <row r="63" spans="3:4" x14ac:dyDescent="0.2">
      <c r="C63" s="2"/>
      <c r="D63" s="2"/>
    </row>
    <row r="64" spans="3:4" x14ac:dyDescent="0.2">
      <c r="C64" s="2"/>
      <c r="D64" s="2"/>
    </row>
    <row r="65" spans="3:4" x14ac:dyDescent="0.2">
      <c r="C65" s="2"/>
      <c r="D65" s="2"/>
    </row>
    <row r="66" spans="3:4" x14ac:dyDescent="0.2">
      <c r="C66" s="2"/>
      <c r="D66" s="2"/>
    </row>
    <row r="67" spans="3:4" x14ac:dyDescent="0.2">
      <c r="C67" s="4"/>
      <c r="D67" s="4"/>
    </row>
    <row r="68" spans="3:4" x14ac:dyDescent="0.2">
      <c r="C68" s="2"/>
      <c r="D68" s="2"/>
    </row>
    <row r="69" spans="3:4" x14ac:dyDescent="0.2">
      <c r="C69" s="4"/>
      <c r="D69" s="4"/>
    </row>
    <row r="70" spans="3:4" x14ac:dyDescent="0.2">
      <c r="C70" s="2"/>
      <c r="D70" s="2"/>
    </row>
    <row r="71" spans="3:4" x14ac:dyDescent="0.2">
      <c r="C71" s="4"/>
      <c r="D71" s="4"/>
    </row>
    <row r="72" spans="3:4" x14ac:dyDescent="0.2">
      <c r="C72" s="2"/>
      <c r="D72" s="2"/>
    </row>
    <row r="73" spans="3:4" x14ac:dyDescent="0.2">
      <c r="C73" s="2"/>
      <c r="D73" s="2"/>
    </row>
  </sheetData>
  <pageMargins left="0.39370078740157483" right="0.39370078740157483" top="0.39370078740157483" bottom="0.39370078740157483" header="0.39370078740157483" footer="0.39370078740157483"/>
  <pageSetup paperSize="9" scale="91" orientation="portrait"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716E55-F98D-423F-977F-8AC03B908567}">
  <sheetPr>
    <pageSetUpPr fitToPage="1"/>
  </sheetPr>
  <dimension ref="A1:L73"/>
  <sheetViews>
    <sheetView zoomScaleNormal="100" workbookViewId="0">
      <selection activeCell="C3" sqref="C3"/>
    </sheetView>
  </sheetViews>
  <sheetFormatPr defaultColWidth="9.14453125" defaultRowHeight="15" x14ac:dyDescent="0.2"/>
  <cols>
    <col min="1" max="1" width="18.16015625" style="1" bestFit="1" customWidth="1"/>
    <col min="2" max="2" width="5.6484375" style="1" customWidth="1"/>
    <col min="3" max="10" width="17.21875" style="1" bestFit="1" customWidth="1"/>
    <col min="11" max="12" width="13.85546875" style="1" bestFit="1" customWidth="1"/>
    <col min="13" max="16384" width="9.14453125" style="1"/>
  </cols>
  <sheetData>
    <row r="1" spans="1:12" ht="30" customHeight="1" x14ac:dyDescent="0.2">
      <c r="A1" s="1" t="s">
        <v>28</v>
      </c>
      <c r="C1" s="9" t="s">
        <v>30</v>
      </c>
      <c r="D1" s="9" t="s">
        <v>30</v>
      </c>
      <c r="E1" s="9" t="s">
        <v>30</v>
      </c>
      <c r="F1" s="9" t="s">
        <v>30</v>
      </c>
      <c r="G1" s="9" t="s">
        <v>30</v>
      </c>
      <c r="H1" s="9" t="s">
        <v>30</v>
      </c>
      <c r="I1" s="9" t="s">
        <v>30</v>
      </c>
      <c r="J1" s="9" t="s">
        <v>30</v>
      </c>
      <c r="K1" s="9"/>
      <c r="L1" s="9"/>
    </row>
    <row r="2" spans="1:12" x14ac:dyDescent="0.2">
      <c r="A2" s="1" t="s">
        <v>0</v>
      </c>
      <c r="C2" s="1" t="s">
        <v>36</v>
      </c>
      <c r="D2" s="1" t="s">
        <v>36</v>
      </c>
      <c r="E2" s="1" t="s">
        <v>36</v>
      </c>
      <c r="F2" s="1" t="s">
        <v>36</v>
      </c>
      <c r="G2" s="1" t="s">
        <v>36</v>
      </c>
      <c r="H2" s="1" t="s">
        <v>36</v>
      </c>
      <c r="I2" s="1" t="s">
        <v>36</v>
      </c>
      <c r="J2" s="1" t="s">
        <v>36</v>
      </c>
    </row>
    <row r="3" spans="1:12" x14ac:dyDescent="0.2">
      <c r="A3" s="1" t="s">
        <v>1</v>
      </c>
      <c r="C3" s="1">
        <v>175</v>
      </c>
      <c r="D3" s="1">
        <v>175</v>
      </c>
      <c r="E3" s="1">
        <v>175</v>
      </c>
      <c r="F3" s="1">
        <v>175</v>
      </c>
      <c r="G3" s="1">
        <v>175</v>
      </c>
      <c r="H3" s="1">
        <v>175</v>
      </c>
      <c r="I3" s="1">
        <v>175</v>
      </c>
      <c r="J3" s="1">
        <v>175</v>
      </c>
    </row>
    <row r="4" spans="1:12" x14ac:dyDescent="0.2">
      <c r="C4" s="1" t="s">
        <v>23</v>
      </c>
      <c r="D4" s="1" t="s">
        <v>24</v>
      </c>
      <c r="E4" s="1" t="s">
        <v>25</v>
      </c>
      <c r="F4" s="1" t="s">
        <v>26</v>
      </c>
      <c r="G4" s="1" t="s">
        <v>27</v>
      </c>
      <c r="H4" s="1" t="s">
        <v>33</v>
      </c>
      <c r="I4" s="1" t="s">
        <v>34</v>
      </c>
      <c r="J4" s="1" t="s">
        <v>35</v>
      </c>
    </row>
    <row r="6" spans="1:12" x14ac:dyDescent="0.2">
      <c r="A6" s="1" t="s">
        <v>10</v>
      </c>
      <c r="C6" s="1">
        <v>18</v>
      </c>
      <c r="D6" s="1">
        <v>20</v>
      </c>
      <c r="E6" s="1">
        <v>22</v>
      </c>
      <c r="F6" s="1">
        <v>24</v>
      </c>
      <c r="G6" s="1">
        <v>26</v>
      </c>
      <c r="H6" s="1">
        <v>28</v>
      </c>
      <c r="I6" s="1">
        <v>30</v>
      </c>
      <c r="J6" s="1">
        <v>32</v>
      </c>
    </row>
    <row r="7" spans="1:12" x14ac:dyDescent="0.2">
      <c r="A7" s="1" t="s">
        <v>12</v>
      </c>
      <c r="C7" s="1">
        <v>27</v>
      </c>
      <c r="D7" s="1">
        <v>28</v>
      </c>
      <c r="E7" s="1">
        <v>29</v>
      </c>
      <c r="F7" s="1">
        <v>30</v>
      </c>
      <c r="G7" s="1">
        <v>32</v>
      </c>
      <c r="H7" s="1">
        <v>33</v>
      </c>
      <c r="I7" s="1">
        <v>34</v>
      </c>
      <c r="J7" s="1">
        <v>35</v>
      </c>
    </row>
    <row r="8" spans="1:12" x14ac:dyDescent="0.2">
      <c r="A8" s="1" t="s">
        <v>11</v>
      </c>
      <c r="C8" s="1">
        <v>8</v>
      </c>
      <c r="D8" s="1">
        <v>8.5</v>
      </c>
      <c r="E8" s="1">
        <v>9</v>
      </c>
      <c r="F8" s="1">
        <v>9.5</v>
      </c>
      <c r="G8" s="1">
        <v>10</v>
      </c>
      <c r="H8" s="1">
        <v>10.5</v>
      </c>
      <c r="I8" s="1">
        <v>11</v>
      </c>
      <c r="J8" s="1">
        <v>11.5</v>
      </c>
    </row>
    <row r="10" spans="1:12" x14ac:dyDescent="0.2">
      <c r="A10" s="1" t="s">
        <v>14</v>
      </c>
      <c r="C10" s="7">
        <f>(C6+1)*(C7+C8+3)*2*2.54*2.54/10000*C3</f>
        <v>163.03193200000004</v>
      </c>
      <c r="D10" s="7">
        <f t="shared" ref="D10:J10" si="0">(D6+1)*(D7+D8+3)*2*2.54*2.54/10000*D3</f>
        <v>187.30607699999999</v>
      </c>
      <c r="E10" s="7">
        <f t="shared" si="0"/>
        <v>212.93505800000003</v>
      </c>
      <c r="F10" s="7">
        <f t="shared" si="0"/>
        <v>239.91887499999999</v>
      </c>
      <c r="G10" s="7">
        <f t="shared" si="0"/>
        <v>274.35428999999999</v>
      </c>
      <c r="H10" s="7">
        <f t="shared" si="0"/>
        <v>304.49939099999995</v>
      </c>
      <c r="I10" s="7">
        <f t="shared" si="0"/>
        <v>335.99932799999999</v>
      </c>
      <c r="J10" s="7">
        <f t="shared" si="0"/>
        <v>368.85410100000007</v>
      </c>
      <c r="K10" s="7"/>
      <c r="L10" s="7"/>
    </row>
    <row r="11" spans="1:12" x14ac:dyDescent="0.2">
      <c r="A11" s="1" t="s">
        <v>21</v>
      </c>
      <c r="C11" s="7">
        <v>6</v>
      </c>
      <c r="D11" s="7">
        <v>6</v>
      </c>
      <c r="E11" s="7">
        <v>6</v>
      </c>
      <c r="F11" s="7">
        <v>6</v>
      </c>
      <c r="G11" s="7">
        <v>6</v>
      </c>
      <c r="H11" s="7">
        <v>6</v>
      </c>
      <c r="I11" s="7">
        <v>6</v>
      </c>
      <c r="J11" s="7">
        <v>6</v>
      </c>
      <c r="K11" s="7"/>
      <c r="L11" s="7"/>
    </row>
    <row r="12" spans="1:12" x14ac:dyDescent="0.2">
      <c r="A12" s="1" t="s">
        <v>13</v>
      </c>
      <c r="C12" s="7">
        <v>6</v>
      </c>
      <c r="D12" s="7">
        <v>6</v>
      </c>
      <c r="E12" s="7">
        <v>6</v>
      </c>
      <c r="F12" s="7">
        <v>6</v>
      </c>
      <c r="G12" s="7">
        <v>8</v>
      </c>
      <c r="H12" s="7">
        <v>8</v>
      </c>
      <c r="I12" s="7">
        <v>8</v>
      </c>
      <c r="J12" s="7">
        <v>8</v>
      </c>
      <c r="K12" s="7"/>
      <c r="L12" s="7"/>
    </row>
    <row r="14" spans="1:12" x14ac:dyDescent="0.2">
      <c r="A14" s="1" t="s">
        <v>15</v>
      </c>
      <c r="C14" s="7">
        <f t="shared" ref="C14:J14" si="1">SUM(C10:C13)</f>
        <v>175.03193200000004</v>
      </c>
      <c r="D14" s="7">
        <f t="shared" si="1"/>
        <v>199.30607699999999</v>
      </c>
      <c r="E14" s="7">
        <f t="shared" si="1"/>
        <v>224.93505800000003</v>
      </c>
      <c r="F14" s="7">
        <f t="shared" si="1"/>
        <v>251.91887499999999</v>
      </c>
      <c r="G14" s="7">
        <f t="shared" si="1"/>
        <v>288.35428999999999</v>
      </c>
      <c r="H14" s="7">
        <f t="shared" si="1"/>
        <v>318.49939099999995</v>
      </c>
      <c r="I14" s="7">
        <f t="shared" si="1"/>
        <v>349.99932799999999</v>
      </c>
      <c r="J14" s="7">
        <f t="shared" si="1"/>
        <v>382.85410100000007</v>
      </c>
      <c r="K14" s="7"/>
      <c r="L14" s="7"/>
    </row>
    <row r="16" spans="1:12" x14ac:dyDescent="0.2">
      <c r="A16" s="1" t="s">
        <v>16</v>
      </c>
      <c r="C16" s="7">
        <v>272</v>
      </c>
      <c r="D16" s="7">
        <v>272</v>
      </c>
      <c r="E16" s="7">
        <v>272</v>
      </c>
      <c r="F16" s="7">
        <v>272</v>
      </c>
      <c r="G16" s="7">
        <v>272</v>
      </c>
      <c r="H16" s="7">
        <v>272</v>
      </c>
      <c r="I16" s="7">
        <v>272</v>
      </c>
      <c r="J16" s="7">
        <v>272</v>
      </c>
      <c r="K16" s="7"/>
      <c r="L16" s="7"/>
    </row>
    <row r="17" spans="1:12" x14ac:dyDescent="0.2">
      <c r="A17" s="1" t="s">
        <v>7</v>
      </c>
      <c r="C17" s="7">
        <v>10</v>
      </c>
      <c r="D17" s="7">
        <v>10</v>
      </c>
      <c r="E17" s="7">
        <v>10</v>
      </c>
      <c r="F17" s="7">
        <v>10</v>
      </c>
      <c r="G17" s="7">
        <v>10</v>
      </c>
      <c r="H17" s="7">
        <v>10</v>
      </c>
      <c r="I17" s="7">
        <v>10</v>
      </c>
      <c r="J17" s="7">
        <v>10</v>
      </c>
      <c r="K17" s="7"/>
      <c r="L17" s="7"/>
    </row>
    <row r="18" spans="1:12" x14ac:dyDescent="0.2">
      <c r="A18" s="1" t="s">
        <v>37</v>
      </c>
      <c r="C18" s="7">
        <v>90</v>
      </c>
      <c r="D18" s="7">
        <v>90</v>
      </c>
      <c r="E18" s="7">
        <v>90</v>
      </c>
      <c r="F18" s="7">
        <v>90</v>
      </c>
      <c r="G18" s="7">
        <v>90</v>
      </c>
      <c r="H18" s="7">
        <v>90</v>
      </c>
      <c r="I18" s="7">
        <v>90</v>
      </c>
      <c r="J18" s="7">
        <v>90</v>
      </c>
      <c r="K18" s="7"/>
      <c r="L18" s="7"/>
    </row>
    <row r="19" spans="1:12" x14ac:dyDescent="0.2">
      <c r="A19" s="1" t="s">
        <v>38</v>
      </c>
      <c r="C19" s="7">
        <v>18</v>
      </c>
      <c r="D19" s="7">
        <v>18</v>
      </c>
      <c r="E19" s="7">
        <v>18</v>
      </c>
      <c r="F19" s="7">
        <v>18</v>
      </c>
      <c r="G19" s="7">
        <v>18</v>
      </c>
      <c r="H19" s="7">
        <v>18</v>
      </c>
      <c r="I19" s="7">
        <v>18</v>
      </c>
      <c r="J19" s="7">
        <v>18</v>
      </c>
      <c r="K19" s="7"/>
      <c r="L19" s="7"/>
    </row>
    <row r="20" spans="1:12" x14ac:dyDescent="0.2">
      <c r="A20" s="1" t="s">
        <v>8</v>
      </c>
      <c r="C20" s="7">
        <v>9</v>
      </c>
      <c r="D20" s="7">
        <v>9</v>
      </c>
      <c r="E20" s="7">
        <v>9</v>
      </c>
      <c r="F20" s="7">
        <v>9</v>
      </c>
      <c r="G20" s="7">
        <v>9</v>
      </c>
      <c r="H20" s="7">
        <v>9</v>
      </c>
      <c r="I20" s="7">
        <v>9</v>
      </c>
      <c r="J20" s="7">
        <v>9</v>
      </c>
      <c r="K20" s="7"/>
      <c r="L20" s="7"/>
    </row>
    <row r="21" spans="1:12" x14ac:dyDescent="0.2">
      <c r="C21" s="7"/>
      <c r="D21" s="7"/>
      <c r="E21" s="7"/>
      <c r="F21" s="7"/>
      <c r="G21" s="7"/>
      <c r="H21" s="7"/>
      <c r="I21" s="7"/>
      <c r="J21" s="7"/>
      <c r="K21" s="7"/>
      <c r="L21" s="7"/>
    </row>
    <row r="22" spans="1:12" x14ac:dyDescent="0.2">
      <c r="A22" s="1" t="s">
        <v>2</v>
      </c>
      <c r="C22" s="7">
        <f t="shared" ref="C22:J22" si="2">SUM(C16:C21)</f>
        <v>399</v>
      </c>
      <c r="D22" s="7">
        <f t="shared" si="2"/>
        <v>399</v>
      </c>
      <c r="E22" s="7">
        <f t="shared" si="2"/>
        <v>399</v>
      </c>
      <c r="F22" s="7">
        <f t="shared" si="2"/>
        <v>399</v>
      </c>
      <c r="G22" s="7">
        <f t="shared" si="2"/>
        <v>399</v>
      </c>
      <c r="H22" s="7">
        <f t="shared" si="2"/>
        <v>399</v>
      </c>
      <c r="I22" s="7">
        <f t="shared" si="2"/>
        <v>399</v>
      </c>
      <c r="J22" s="7">
        <f t="shared" si="2"/>
        <v>399</v>
      </c>
      <c r="K22" s="7"/>
      <c r="L22" s="7"/>
    </row>
    <row r="23" spans="1:12" x14ac:dyDescent="0.2">
      <c r="A23" s="1" t="s">
        <v>32</v>
      </c>
      <c r="C23" s="7">
        <f>C22*6%</f>
        <v>23.939999999999998</v>
      </c>
      <c r="D23" s="7">
        <f t="shared" ref="D23:J23" si="3">D22*6%</f>
        <v>23.939999999999998</v>
      </c>
      <c r="E23" s="7">
        <f t="shared" si="3"/>
        <v>23.939999999999998</v>
      </c>
      <c r="F23" s="7">
        <f t="shared" si="3"/>
        <v>23.939999999999998</v>
      </c>
      <c r="G23" s="7">
        <f t="shared" si="3"/>
        <v>23.939999999999998</v>
      </c>
      <c r="H23" s="7">
        <f t="shared" si="3"/>
        <v>23.939999999999998</v>
      </c>
      <c r="I23" s="7">
        <f t="shared" si="3"/>
        <v>23.939999999999998</v>
      </c>
      <c r="J23" s="7">
        <f t="shared" si="3"/>
        <v>23.939999999999998</v>
      </c>
      <c r="K23" s="7"/>
      <c r="L23" s="7"/>
    </row>
    <row r="24" spans="1:12" x14ac:dyDescent="0.2">
      <c r="C24" s="7"/>
      <c r="D24" s="7"/>
      <c r="E24" s="7"/>
      <c r="F24" s="7"/>
      <c r="G24" s="7"/>
      <c r="H24" s="7"/>
      <c r="I24" s="7"/>
      <c r="J24" s="7"/>
      <c r="K24" s="7"/>
      <c r="L24" s="7"/>
    </row>
    <row r="25" spans="1:12" s="3" customFormat="1" x14ac:dyDescent="0.2">
      <c r="A25" s="8" t="s">
        <v>3</v>
      </c>
      <c r="B25" s="8"/>
      <c r="C25" s="7">
        <f t="shared" ref="C25:J25" si="4">SUM(C22:C24)</f>
        <v>422.94</v>
      </c>
      <c r="D25" s="7">
        <f t="shared" si="4"/>
        <v>422.94</v>
      </c>
      <c r="E25" s="7">
        <f t="shared" si="4"/>
        <v>422.94</v>
      </c>
      <c r="F25" s="7">
        <f t="shared" si="4"/>
        <v>422.94</v>
      </c>
      <c r="G25" s="7">
        <f t="shared" si="4"/>
        <v>422.94</v>
      </c>
      <c r="H25" s="7">
        <f t="shared" si="4"/>
        <v>422.94</v>
      </c>
      <c r="I25" s="7">
        <f t="shared" si="4"/>
        <v>422.94</v>
      </c>
      <c r="J25" s="7">
        <f t="shared" si="4"/>
        <v>422.94</v>
      </c>
      <c r="K25" s="7"/>
      <c r="L25" s="7"/>
    </row>
    <row r="26" spans="1:12" x14ac:dyDescent="0.2">
      <c r="C26" s="7"/>
      <c r="D26" s="7"/>
      <c r="E26" s="7"/>
      <c r="F26" s="7"/>
      <c r="G26" s="7"/>
      <c r="H26" s="7"/>
      <c r="I26" s="7"/>
      <c r="J26" s="7"/>
      <c r="K26" s="7"/>
      <c r="L26" s="7"/>
    </row>
    <row r="27" spans="1:12" x14ac:dyDescent="0.2">
      <c r="A27" s="1" t="s">
        <v>4</v>
      </c>
      <c r="C27" s="2">
        <f>C25*C14/1000</f>
        <v>74.028005320080013</v>
      </c>
      <c r="D27" s="2">
        <f t="shared" ref="D27:J27" si="5">D25*D14/1000</f>
        <v>84.294512206379991</v>
      </c>
      <c r="E27" s="2">
        <f t="shared" si="5"/>
        <v>95.134033430520006</v>
      </c>
      <c r="F27" s="2">
        <f t="shared" si="5"/>
        <v>106.54656899249999</v>
      </c>
      <c r="G27" s="2">
        <f t="shared" si="5"/>
        <v>121.95656341259999</v>
      </c>
      <c r="H27" s="2">
        <f t="shared" si="5"/>
        <v>134.70613242953999</v>
      </c>
      <c r="I27" s="2">
        <f t="shared" si="5"/>
        <v>148.02871578431999</v>
      </c>
      <c r="J27" s="2">
        <f t="shared" si="5"/>
        <v>161.92431347694003</v>
      </c>
      <c r="K27" s="2"/>
      <c r="L27" s="2"/>
    </row>
    <row r="28" spans="1:12" x14ac:dyDescent="0.2">
      <c r="A28" s="1" t="s">
        <v>5</v>
      </c>
      <c r="C28" s="2">
        <v>16</v>
      </c>
      <c r="D28" s="2">
        <v>16</v>
      </c>
      <c r="E28" s="2">
        <v>16</v>
      </c>
      <c r="F28" s="2">
        <v>16</v>
      </c>
      <c r="G28" s="2">
        <v>16</v>
      </c>
      <c r="H28" s="2">
        <v>16</v>
      </c>
      <c r="I28" s="2">
        <v>16</v>
      </c>
      <c r="J28" s="2">
        <v>16</v>
      </c>
      <c r="K28" s="2"/>
      <c r="L28" s="2"/>
    </row>
    <row r="29" spans="1:12" x14ac:dyDescent="0.2">
      <c r="A29" s="1" t="s">
        <v>22</v>
      </c>
      <c r="C29" s="2">
        <v>0.45</v>
      </c>
      <c r="D29" s="2">
        <v>0.45</v>
      </c>
      <c r="E29" s="2">
        <v>0.45</v>
      </c>
      <c r="F29" s="2">
        <v>0.45</v>
      </c>
      <c r="G29" s="2">
        <v>0.45</v>
      </c>
      <c r="H29" s="2">
        <v>0.45</v>
      </c>
      <c r="I29" s="2">
        <v>0.45</v>
      </c>
      <c r="J29" s="2">
        <v>0.45</v>
      </c>
      <c r="K29" s="2"/>
      <c r="L29" s="2"/>
    </row>
    <row r="30" spans="1:12" x14ac:dyDescent="0.2">
      <c r="A30" s="1" t="s">
        <v>17</v>
      </c>
      <c r="C30" s="2">
        <v>0.4</v>
      </c>
      <c r="D30" s="2">
        <v>0.4</v>
      </c>
      <c r="E30" s="2">
        <v>0.4</v>
      </c>
      <c r="F30" s="2">
        <v>0.4</v>
      </c>
      <c r="G30" s="2">
        <v>0.4</v>
      </c>
      <c r="H30" s="2">
        <v>0.4</v>
      </c>
      <c r="I30" s="2">
        <v>0.4</v>
      </c>
      <c r="J30" s="2">
        <v>0.4</v>
      </c>
      <c r="K30" s="2"/>
      <c r="L30" s="2"/>
    </row>
    <row r="31" spans="1:12" x14ac:dyDescent="0.2">
      <c r="A31" s="1" t="s">
        <v>18</v>
      </c>
      <c r="C31" s="2">
        <v>1</v>
      </c>
      <c r="D31" s="2">
        <v>1</v>
      </c>
      <c r="E31" s="2">
        <v>1</v>
      </c>
      <c r="F31" s="2">
        <v>1</v>
      </c>
      <c r="G31" s="2">
        <v>1</v>
      </c>
      <c r="H31" s="2">
        <v>1</v>
      </c>
      <c r="I31" s="2">
        <v>1</v>
      </c>
      <c r="J31" s="2">
        <v>1</v>
      </c>
      <c r="K31" s="2"/>
      <c r="L31" s="2"/>
    </row>
    <row r="32" spans="1:12" x14ac:dyDescent="0.2">
      <c r="A32" s="1" t="s">
        <v>9</v>
      </c>
      <c r="C32" s="2">
        <v>1</v>
      </c>
      <c r="D32" s="2">
        <v>1</v>
      </c>
      <c r="E32" s="2">
        <v>1</v>
      </c>
      <c r="F32" s="2">
        <v>1</v>
      </c>
      <c r="G32" s="2">
        <v>1</v>
      </c>
      <c r="H32" s="2">
        <v>1</v>
      </c>
      <c r="I32" s="2">
        <v>1</v>
      </c>
      <c r="J32" s="2">
        <v>1</v>
      </c>
      <c r="K32" s="2"/>
      <c r="L32" s="2"/>
    </row>
    <row r="33" spans="1:12" x14ac:dyDescent="0.2">
      <c r="A33" s="1" t="s">
        <v>20</v>
      </c>
      <c r="C33" s="2">
        <v>1.5</v>
      </c>
      <c r="D33" s="2">
        <v>1.5</v>
      </c>
      <c r="E33" s="2">
        <v>1.5</v>
      </c>
      <c r="F33" s="2">
        <v>1.5</v>
      </c>
      <c r="G33" s="2">
        <v>1.5</v>
      </c>
      <c r="H33" s="2">
        <v>1.5</v>
      </c>
      <c r="I33" s="2">
        <v>1.5</v>
      </c>
      <c r="J33" s="2">
        <v>1.5</v>
      </c>
      <c r="K33" s="2"/>
      <c r="L33" s="2"/>
    </row>
    <row r="34" spans="1:12" x14ac:dyDescent="0.2">
      <c r="C34" s="2"/>
      <c r="D34" s="2"/>
      <c r="E34" s="2"/>
      <c r="F34" s="2"/>
      <c r="G34" s="2"/>
      <c r="H34" s="2"/>
      <c r="I34" s="2"/>
      <c r="J34" s="2"/>
      <c r="K34" s="2"/>
      <c r="L34" s="2"/>
    </row>
    <row r="35" spans="1:12" x14ac:dyDescent="0.2">
      <c r="A35" s="1" t="s">
        <v>2</v>
      </c>
      <c r="C35" s="2">
        <f>SUM(C27:C34)</f>
        <v>94.378005320080021</v>
      </c>
      <c r="D35" s="2">
        <f t="shared" ref="D35:J35" si="6">SUM(D27:D34)</f>
        <v>104.64451220638</v>
      </c>
      <c r="E35" s="2">
        <f t="shared" si="6"/>
        <v>115.48403343052001</v>
      </c>
      <c r="F35" s="2">
        <f t="shared" si="6"/>
        <v>126.89656899249999</v>
      </c>
      <c r="G35" s="2">
        <f t="shared" si="6"/>
        <v>142.30656341259998</v>
      </c>
      <c r="H35" s="2">
        <f t="shared" si="6"/>
        <v>155.05613242953999</v>
      </c>
      <c r="I35" s="2">
        <f t="shared" si="6"/>
        <v>168.37871578431998</v>
      </c>
      <c r="J35" s="2">
        <f t="shared" si="6"/>
        <v>182.27431347694002</v>
      </c>
      <c r="K35" s="2"/>
      <c r="L35" s="2"/>
    </row>
    <row r="36" spans="1:12" x14ac:dyDescent="0.2">
      <c r="A36" s="1" t="s">
        <v>19</v>
      </c>
      <c r="C36" s="2">
        <f t="shared" ref="C36:J36" si="7">C35*1%</f>
        <v>0.94378005320080027</v>
      </c>
      <c r="D36" s="2">
        <f t="shared" si="7"/>
        <v>1.0464451220638</v>
      </c>
      <c r="E36" s="2">
        <f t="shared" si="7"/>
        <v>1.1548403343052003</v>
      </c>
      <c r="F36" s="2">
        <f t="shared" si="7"/>
        <v>1.2689656899249999</v>
      </c>
      <c r="G36" s="2">
        <f t="shared" si="7"/>
        <v>1.423065634126</v>
      </c>
      <c r="H36" s="2">
        <f t="shared" si="7"/>
        <v>1.5505613242953999</v>
      </c>
      <c r="I36" s="2">
        <f t="shared" si="7"/>
        <v>1.6837871578431998</v>
      </c>
      <c r="J36" s="2">
        <f t="shared" si="7"/>
        <v>1.8227431347694003</v>
      </c>
      <c r="K36" s="2"/>
      <c r="L36" s="2"/>
    </row>
    <row r="37" spans="1:12" x14ac:dyDescent="0.2">
      <c r="C37" s="2"/>
      <c r="D37" s="2"/>
      <c r="E37" s="2"/>
      <c r="F37" s="2"/>
      <c r="G37" s="2"/>
      <c r="H37" s="2"/>
      <c r="I37" s="2"/>
      <c r="J37" s="2"/>
      <c r="K37" s="2"/>
      <c r="L37" s="2"/>
    </row>
    <row r="38" spans="1:12" x14ac:dyDescent="0.2">
      <c r="A38" s="1" t="s">
        <v>2</v>
      </c>
      <c r="C38" s="2">
        <f t="shared" ref="C38:J38" si="8">SUM(C35:C37)</f>
        <v>95.321785373280818</v>
      </c>
      <c r="D38" s="2">
        <f t="shared" si="8"/>
        <v>105.6909573284438</v>
      </c>
      <c r="E38" s="2">
        <f t="shared" si="8"/>
        <v>116.63887376482522</v>
      </c>
      <c r="F38" s="2">
        <f t="shared" si="8"/>
        <v>128.165534682425</v>
      </c>
      <c r="G38" s="2">
        <f t="shared" si="8"/>
        <v>143.72962904672599</v>
      </c>
      <c r="H38" s="2">
        <f t="shared" si="8"/>
        <v>156.60669375383537</v>
      </c>
      <c r="I38" s="2">
        <f t="shared" si="8"/>
        <v>170.06250294216318</v>
      </c>
      <c r="J38" s="2">
        <f t="shared" si="8"/>
        <v>184.09705661170943</v>
      </c>
      <c r="K38" s="2"/>
      <c r="L38" s="2"/>
    </row>
    <row r="39" spans="1:12" x14ac:dyDescent="0.2">
      <c r="A39" s="1" t="s">
        <v>42</v>
      </c>
      <c r="C39" s="2">
        <f>C38*20%</f>
        <v>19.064357074656165</v>
      </c>
      <c r="D39" s="2">
        <f t="shared" ref="D39:J39" si="9">D38*20%</f>
        <v>21.138191465688763</v>
      </c>
      <c r="E39" s="2">
        <f t="shared" si="9"/>
        <v>23.327774752965045</v>
      </c>
      <c r="F39" s="2">
        <f t="shared" si="9"/>
        <v>25.633106936485003</v>
      </c>
      <c r="G39" s="2">
        <f t="shared" si="9"/>
        <v>28.745925809345199</v>
      </c>
      <c r="H39" s="2">
        <f t="shared" si="9"/>
        <v>31.321338750767076</v>
      </c>
      <c r="I39" s="2">
        <f t="shared" si="9"/>
        <v>34.012500588432637</v>
      </c>
      <c r="J39" s="2">
        <f t="shared" si="9"/>
        <v>36.819411322341885</v>
      </c>
      <c r="K39" s="2"/>
      <c r="L39" s="2"/>
    </row>
    <row r="40" spans="1:12" x14ac:dyDescent="0.2">
      <c r="C40" s="2"/>
      <c r="D40" s="2"/>
      <c r="E40" s="2"/>
      <c r="F40" s="2"/>
      <c r="G40" s="2"/>
      <c r="H40" s="2"/>
      <c r="I40" s="2"/>
      <c r="J40" s="2"/>
      <c r="K40" s="2"/>
      <c r="L40" s="2"/>
    </row>
    <row r="41" spans="1:12" x14ac:dyDescent="0.2">
      <c r="A41" s="1" t="s">
        <v>6</v>
      </c>
      <c r="C41" s="2">
        <f t="shared" ref="C41:J41" si="10">SUM(C38:C40)</f>
        <v>114.38614244793698</v>
      </c>
      <c r="D41" s="2">
        <f t="shared" si="10"/>
        <v>126.82914879413256</v>
      </c>
      <c r="E41" s="2">
        <f t="shared" si="10"/>
        <v>139.96664851779028</v>
      </c>
      <c r="F41" s="2">
        <f t="shared" si="10"/>
        <v>153.79864161891001</v>
      </c>
      <c r="G41" s="2">
        <f t="shared" si="10"/>
        <v>172.4755548560712</v>
      </c>
      <c r="H41" s="2">
        <f t="shared" si="10"/>
        <v>187.92803250460244</v>
      </c>
      <c r="I41" s="2">
        <f t="shared" si="10"/>
        <v>204.07500353059581</v>
      </c>
      <c r="J41" s="2">
        <f t="shared" si="10"/>
        <v>220.91646793405133</v>
      </c>
      <c r="K41" s="2"/>
      <c r="L41" s="2"/>
    </row>
    <row r="42" spans="1:12" x14ac:dyDescent="0.2">
      <c r="C42" s="2"/>
      <c r="D42" s="2"/>
      <c r="E42" s="2"/>
      <c r="F42" s="2"/>
      <c r="G42" s="2"/>
      <c r="H42" s="2"/>
      <c r="I42" s="2"/>
      <c r="J42" s="2"/>
      <c r="K42" s="2"/>
      <c r="L42" s="2"/>
    </row>
    <row r="43" spans="1:12" s="6" customFormat="1" x14ac:dyDescent="0.2">
      <c r="A43" s="6" t="s">
        <v>29</v>
      </c>
      <c r="C43" s="5">
        <f>C41/85</f>
        <v>1.3457193229169055</v>
      </c>
      <c r="D43" s="5">
        <f t="shared" ref="D43:J43" si="11">D41/85</f>
        <v>1.4921076328721479</v>
      </c>
      <c r="E43" s="5">
        <f t="shared" si="11"/>
        <v>1.6466664531504738</v>
      </c>
      <c r="F43" s="5">
        <f t="shared" si="11"/>
        <v>1.8093957837518826</v>
      </c>
      <c r="G43" s="5">
        <f t="shared" si="11"/>
        <v>2.0291241747773081</v>
      </c>
      <c r="H43" s="5">
        <f t="shared" si="11"/>
        <v>2.210918029465911</v>
      </c>
      <c r="I43" s="5">
        <f t="shared" si="11"/>
        <v>2.4008823944775979</v>
      </c>
      <c r="J43" s="5">
        <f t="shared" si="11"/>
        <v>2.5990172698123684</v>
      </c>
      <c r="K43" s="5"/>
      <c r="L43" s="5"/>
    </row>
    <row r="44" spans="1:12" s="6" customFormat="1" x14ac:dyDescent="0.2">
      <c r="C44" s="5"/>
      <c r="D44" s="5"/>
      <c r="E44" s="5"/>
      <c r="F44" s="5"/>
      <c r="G44" s="5"/>
      <c r="H44" s="5"/>
      <c r="I44" s="5"/>
      <c r="J44" s="5"/>
      <c r="K44" s="5"/>
      <c r="L44" s="5"/>
    </row>
    <row r="45" spans="1:12" x14ac:dyDescent="0.2">
      <c r="A45" s="6" t="s">
        <v>39</v>
      </c>
      <c r="B45" s="6"/>
      <c r="C45" s="5">
        <v>7.0000000000000007E-2</v>
      </c>
      <c r="D45" s="5">
        <v>7.0000000000000007E-2</v>
      </c>
      <c r="E45" s="5">
        <v>7.0000000000000007E-2</v>
      </c>
      <c r="F45" s="5">
        <v>7.0000000000000007E-2</v>
      </c>
      <c r="G45" s="5">
        <v>7.0000000000000007E-2</v>
      </c>
      <c r="H45" s="5">
        <v>7.0000000000000007E-2</v>
      </c>
      <c r="I45" s="5">
        <v>7.0000000000000007E-2</v>
      </c>
      <c r="J45" s="5">
        <v>7.0000000000000007E-2</v>
      </c>
      <c r="K45" s="2"/>
      <c r="L45" s="2"/>
    </row>
    <row r="46" spans="1:12" x14ac:dyDescent="0.2">
      <c r="A46" s="1" t="s">
        <v>40</v>
      </c>
      <c r="C46" s="2">
        <f>0.3*34.5%</f>
        <v>0.10349999999999999</v>
      </c>
      <c r="D46" s="2">
        <f t="shared" ref="D46:J46" si="12">0.3*34.5%</f>
        <v>0.10349999999999999</v>
      </c>
      <c r="E46" s="2">
        <f t="shared" si="12"/>
        <v>0.10349999999999999</v>
      </c>
      <c r="F46" s="2">
        <f t="shared" si="12"/>
        <v>0.10349999999999999</v>
      </c>
      <c r="G46" s="2">
        <f t="shared" si="12"/>
        <v>0.10349999999999999</v>
      </c>
      <c r="H46" s="2">
        <f t="shared" si="12"/>
        <v>0.10349999999999999</v>
      </c>
      <c r="I46" s="2">
        <f t="shared" si="12"/>
        <v>0.10349999999999999</v>
      </c>
      <c r="J46" s="2">
        <f t="shared" si="12"/>
        <v>0.10349999999999999</v>
      </c>
      <c r="K46" s="2"/>
      <c r="L46" s="2"/>
    </row>
    <row r="47" spans="1:12" x14ac:dyDescent="0.2">
      <c r="C47" s="2"/>
      <c r="D47" s="2"/>
    </row>
    <row r="48" spans="1:12" x14ac:dyDescent="0.2">
      <c r="A48" s="1" t="s">
        <v>41</v>
      </c>
      <c r="C48" s="2">
        <f>SUM(C43:C47)</f>
        <v>1.5192193229169055</v>
      </c>
      <c r="D48" s="2">
        <f t="shared" ref="D48:J48" si="13">SUM(D43:D47)</f>
        <v>1.6656076328721479</v>
      </c>
      <c r="E48" s="2">
        <f t="shared" si="13"/>
        <v>1.8201664531504738</v>
      </c>
      <c r="F48" s="2">
        <f t="shared" si="13"/>
        <v>1.9828957837518826</v>
      </c>
      <c r="G48" s="2">
        <f t="shared" si="13"/>
        <v>2.2026241747773079</v>
      </c>
      <c r="H48" s="2">
        <f t="shared" si="13"/>
        <v>2.3844180294659107</v>
      </c>
      <c r="I48" s="2">
        <f t="shared" si="13"/>
        <v>2.5743823944775976</v>
      </c>
      <c r="J48" s="2">
        <f t="shared" si="13"/>
        <v>2.7725172698123681</v>
      </c>
    </row>
    <row r="49" spans="3:4" x14ac:dyDescent="0.2">
      <c r="C49" s="2"/>
      <c r="D49" s="2"/>
    </row>
    <row r="50" spans="3:4" x14ac:dyDescent="0.2">
      <c r="C50" s="2"/>
      <c r="D50" s="2"/>
    </row>
    <row r="51" spans="3:4" x14ac:dyDescent="0.2">
      <c r="C51" s="2"/>
      <c r="D51" s="2"/>
    </row>
    <row r="52" spans="3:4" x14ac:dyDescent="0.2">
      <c r="C52" s="2"/>
      <c r="D52" s="2"/>
    </row>
    <row r="53" spans="3:4" x14ac:dyDescent="0.2">
      <c r="C53" s="2"/>
      <c r="D53" s="2"/>
    </row>
    <row r="54" spans="3:4" x14ac:dyDescent="0.2">
      <c r="C54" s="2"/>
      <c r="D54" s="2"/>
    </row>
    <row r="55" spans="3:4" x14ac:dyDescent="0.2">
      <c r="C55" s="2"/>
      <c r="D55" s="2"/>
    </row>
    <row r="56" spans="3:4" x14ac:dyDescent="0.2">
      <c r="C56" s="2"/>
      <c r="D56" s="2"/>
    </row>
    <row r="57" spans="3:4" x14ac:dyDescent="0.2">
      <c r="C57" s="2"/>
      <c r="D57" s="2"/>
    </row>
    <row r="58" spans="3:4" x14ac:dyDescent="0.2">
      <c r="C58" s="2"/>
      <c r="D58" s="2"/>
    </row>
    <row r="59" spans="3:4" x14ac:dyDescent="0.2">
      <c r="C59" s="2"/>
      <c r="D59" s="2"/>
    </row>
    <row r="60" spans="3:4" x14ac:dyDescent="0.2">
      <c r="C60" s="2"/>
      <c r="D60" s="2"/>
    </row>
    <row r="61" spans="3:4" x14ac:dyDescent="0.2">
      <c r="C61" s="2"/>
      <c r="D61" s="2"/>
    </row>
    <row r="62" spans="3:4" x14ac:dyDescent="0.2">
      <c r="C62" s="2"/>
      <c r="D62" s="2"/>
    </row>
    <row r="63" spans="3:4" x14ac:dyDescent="0.2">
      <c r="C63" s="2"/>
      <c r="D63" s="2"/>
    </row>
    <row r="64" spans="3:4" x14ac:dyDescent="0.2">
      <c r="C64" s="2"/>
      <c r="D64" s="2"/>
    </row>
    <row r="65" spans="3:4" x14ac:dyDescent="0.2">
      <c r="C65" s="2"/>
      <c r="D65" s="2"/>
    </row>
    <row r="66" spans="3:4" x14ac:dyDescent="0.2">
      <c r="C66" s="2"/>
      <c r="D66" s="2"/>
    </row>
    <row r="67" spans="3:4" x14ac:dyDescent="0.2">
      <c r="C67" s="4"/>
      <c r="D67" s="4"/>
    </row>
    <row r="68" spans="3:4" x14ac:dyDescent="0.2">
      <c r="C68" s="2"/>
      <c r="D68" s="2"/>
    </row>
    <row r="69" spans="3:4" x14ac:dyDescent="0.2">
      <c r="C69" s="4"/>
      <c r="D69" s="4"/>
    </row>
    <row r="70" spans="3:4" x14ac:dyDescent="0.2">
      <c r="C70" s="2"/>
      <c r="D70" s="2"/>
    </row>
    <row r="71" spans="3:4" x14ac:dyDescent="0.2">
      <c r="C71" s="4"/>
      <c r="D71" s="4"/>
    </row>
    <row r="72" spans="3:4" x14ac:dyDescent="0.2">
      <c r="C72" s="2"/>
      <c r="D72" s="2"/>
    </row>
    <row r="73" spans="3:4" x14ac:dyDescent="0.2">
      <c r="C73" s="2"/>
      <c r="D73" s="2"/>
    </row>
  </sheetData>
  <pageMargins left="0.39370078740157483" right="0.39370078740157483" top="0.39370078740157483" bottom="0.39370078740157483" header="0.39370078740157483" footer="0.39370078740157483"/>
  <pageSetup paperSize="9" scale="91" orientation="portrait"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FF30B8-6971-4A0E-96E1-5C811EF37262}">
  <sheetPr>
    <pageSetUpPr fitToPage="1"/>
  </sheetPr>
  <dimension ref="A1:L73"/>
  <sheetViews>
    <sheetView zoomScaleNormal="100" workbookViewId="0"/>
  </sheetViews>
  <sheetFormatPr defaultColWidth="9.14453125" defaultRowHeight="15" x14ac:dyDescent="0.2"/>
  <cols>
    <col min="1" max="1" width="18.16015625" style="1" bestFit="1" customWidth="1"/>
    <col min="2" max="2" width="5.6484375" style="1" customWidth="1"/>
    <col min="3" max="10" width="17.21875" style="1" bestFit="1" customWidth="1"/>
    <col min="11" max="12" width="13.85546875" style="1" bestFit="1" customWidth="1"/>
    <col min="13" max="16384" width="9.14453125" style="1"/>
  </cols>
  <sheetData>
    <row r="1" spans="1:12" ht="30" customHeight="1" x14ac:dyDescent="0.2">
      <c r="A1" s="1" t="s">
        <v>28</v>
      </c>
      <c r="C1" s="9" t="s">
        <v>30</v>
      </c>
      <c r="D1" s="9" t="s">
        <v>30</v>
      </c>
      <c r="E1" s="9" t="s">
        <v>30</v>
      </c>
      <c r="F1" s="9" t="s">
        <v>30</v>
      </c>
      <c r="G1" s="9" t="s">
        <v>30</v>
      </c>
      <c r="H1" s="9" t="s">
        <v>30</v>
      </c>
      <c r="I1" s="9" t="s">
        <v>30</v>
      </c>
      <c r="J1" s="9" t="s">
        <v>30</v>
      </c>
      <c r="K1" s="9"/>
      <c r="L1" s="9"/>
    </row>
    <row r="2" spans="1:12" x14ac:dyDescent="0.2">
      <c r="A2" s="1" t="s">
        <v>0</v>
      </c>
      <c r="C2" s="1" t="s">
        <v>43</v>
      </c>
      <c r="D2" s="1" t="s">
        <v>43</v>
      </c>
      <c r="E2" s="1" t="s">
        <v>43</v>
      </c>
      <c r="F2" s="1" t="s">
        <v>43</v>
      </c>
      <c r="G2" s="1" t="s">
        <v>43</v>
      </c>
      <c r="H2" s="1" t="s">
        <v>43</v>
      </c>
      <c r="I2" s="1" t="s">
        <v>43</v>
      </c>
      <c r="J2" s="1" t="s">
        <v>43</v>
      </c>
    </row>
    <row r="3" spans="1:12" x14ac:dyDescent="0.2">
      <c r="A3" s="1" t="s">
        <v>1</v>
      </c>
      <c r="C3" s="1">
        <v>145</v>
      </c>
      <c r="D3" s="1">
        <v>145</v>
      </c>
      <c r="E3" s="1">
        <v>145</v>
      </c>
      <c r="F3" s="1">
        <v>145</v>
      </c>
      <c r="G3" s="1">
        <v>145</v>
      </c>
      <c r="H3" s="1">
        <v>145</v>
      </c>
      <c r="I3" s="1">
        <v>145</v>
      </c>
      <c r="J3" s="1">
        <v>145</v>
      </c>
    </row>
    <row r="4" spans="1:12" x14ac:dyDescent="0.2">
      <c r="C4" s="1" t="s">
        <v>23</v>
      </c>
      <c r="D4" s="1" t="s">
        <v>24</v>
      </c>
      <c r="E4" s="1" t="s">
        <v>25</v>
      </c>
      <c r="F4" s="1" t="s">
        <v>26</v>
      </c>
      <c r="G4" s="1" t="s">
        <v>27</v>
      </c>
      <c r="H4" s="1" t="s">
        <v>33</v>
      </c>
      <c r="I4" s="1" t="s">
        <v>34</v>
      </c>
      <c r="J4" s="1" t="s">
        <v>35</v>
      </c>
    </row>
    <row r="6" spans="1:12" x14ac:dyDescent="0.2">
      <c r="A6" s="1" t="s">
        <v>10</v>
      </c>
      <c r="C6" s="1">
        <v>18</v>
      </c>
      <c r="D6" s="1">
        <v>20</v>
      </c>
      <c r="E6" s="1">
        <v>22</v>
      </c>
      <c r="F6" s="1">
        <v>24</v>
      </c>
      <c r="G6" s="1">
        <v>26</v>
      </c>
      <c r="H6" s="1">
        <v>28</v>
      </c>
      <c r="I6" s="1">
        <v>30</v>
      </c>
      <c r="J6" s="1">
        <v>32</v>
      </c>
    </row>
    <row r="7" spans="1:12" x14ac:dyDescent="0.2">
      <c r="A7" s="1" t="s">
        <v>12</v>
      </c>
      <c r="C7" s="1">
        <v>27</v>
      </c>
      <c r="D7" s="1">
        <v>28</v>
      </c>
      <c r="E7" s="1">
        <v>29</v>
      </c>
      <c r="F7" s="1">
        <v>30</v>
      </c>
      <c r="G7" s="1">
        <v>32</v>
      </c>
      <c r="H7" s="1">
        <v>33</v>
      </c>
      <c r="I7" s="1">
        <v>34</v>
      </c>
      <c r="J7" s="1">
        <v>35</v>
      </c>
    </row>
    <row r="8" spans="1:12" x14ac:dyDescent="0.2">
      <c r="A8" s="1" t="s">
        <v>11</v>
      </c>
      <c r="C8" s="1">
        <v>8</v>
      </c>
      <c r="D8" s="1">
        <v>8.5</v>
      </c>
      <c r="E8" s="1">
        <v>9</v>
      </c>
      <c r="F8" s="1">
        <v>9.5</v>
      </c>
      <c r="G8" s="1">
        <v>10</v>
      </c>
      <c r="H8" s="1">
        <v>10.5</v>
      </c>
      <c r="I8" s="1">
        <v>11</v>
      </c>
      <c r="J8" s="1">
        <v>11.5</v>
      </c>
    </row>
    <row r="10" spans="1:12" x14ac:dyDescent="0.2">
      <c r="A10" s="1" t="s">
        <v>14</v>
      </c>
      <c r="C10" s="7">
        <f>C6*(C7+C8+1)*2*2.54*2.54/10000*C3</f>
        <v>121.23846720000002</v>
      </c>
      <c r="D10" s="7">
        <f t="shared" ref="D10:J10" si="0">D6*(D7+D8+1)*2*2.54*2.54/10000*D3</f>
        <v>140.32229999999998</v>
      </c>
      <c r="E10" s="7">
        <f t="shared" si="0"/>
        <v>160.52871120000003</v>
      </c>
      <c r="F10" s="7">
        <f t="shared" si="0"/>
        <v>181.8577008</v>
      </c>
      <c r="G10" s="7">
        <f t="shared" si="0"/>
        <v>209.17377519999999</v>
      </c>
      <c r="H10" s="7">
        <f t="shared" si="0"/>
        <v>233.12211440000002</v>
      </c>
      <c r="I10" s="7">
        <f t="shared" si="0"/>
        <v>258.19303200000002</v>
      </c>
      <c r="J10" s="7">
        <f t="shared" si="0"/>
        <v>284.386528</v>
      </c>
      <c r="K10" s="7"/>
      <c r="L10" s="7"/>
    </row>
    <row r="11" spans="1:12" x14ac:dyDescent="0.2">
      <c r="A11" s="1" t="s">
        <v>21</v>
      </c>
      <c r="C11" s="7">
        <v>6</v>
      </c>
      <c r="D11" s="7">
        <v>6</v>
      </c>
      <c r="E11" s="7">
        <v>6</v>
      </c>
      <c r="F11" s="7">
        <v>6</v>
      </c>
      <c r="G11" s="7">
        <v>6</v>
      </c>
      <c r="H11" s="7">
        <v>6</v>
      </c>
      <c r="I11" s="7">
        <v>6</v>
      </c>
      <c r="J11" s="7">
        <v>6</v>
      </c>
      <c r="K11" s="7"/>
      <c r="L11" s="7"/>
    </row>
    <row r="12" spans="1:12" x14ac:dyDescent="0.2">
      <c r="A12" s="1" t="s">
        <v>13</v>
      </c>
      <c r="C12" s="7">
        <v>6</v>
      </c>
      <c r="D12" s="7">
        <v>6</v>
      </c>
      <c r="E12" s="7">
        <v>6</v>
      </c>
      <c r="F12" s="7">
        <v>6</v>
      </c>
      <c r="G12" s="7">
        <v>8</v>
      </c>
      <c r="H12" s="7">
        <v>8</v>
      </c>
      <c r="I12" s="7">
        <v>8</v>
      </c>
      <c r="J12" s="7">
        <v>8</v>
      </c>
      <c r="K12" s="7"/>
      <c r="L12" s="7"/>
    </row>
    <row r="14" spans="1:12" x14ac:dyDescent="0.2">
      <c r="A14" s="1" t="s">
        <v>15</v>
      </c>
      <c r="C14" s="7">
        <f t="shared" ref="C14:J14" si="1">SUM(C10:C13)</f>
        <v>133.2384672</v>
      </c>
      <c r="D14" s="7">
        <f t="shared" si="1"/>
        <v>152.32229999999998</v>
      </c>
      <c r="E14" s="7">
        <f t="shared" si="1"/>
        <v>172.52871120000003</v>
      </c>
      <c r="F14" s="7">
        <f t="shared" si="1"/>
        <v>193.8577008</v>
      </c>
      <c r="G14" s="7">
        <f t="shared" si="1"/>
        <v>223.17377519999999</v>
      </c>
      <c r="H14" s="7">
        <f t="shared" si="1"/>
        <v>247.12211440000002</v>
      </c>
      <c r="I14" s="7">
        <f t="shared" si="1"/>
        <v>272.19303200000002</v>
      </c>
      <c r="J14" s="7">
        <f t="shared" si="1"/>
        <v>298.386528</v>
      </c>
      <c r="K14" s="7"/>
      <c r="L14" s="7"/>
    </row>
    <row r="16" spans="1:12" x14ac:dyDescent="0.2">
      <c r="A16" s="1" t="s">
        <v>16</v>
      </c>
      <c r="C16" s="7">
        <v>272</v>
      </c>
      <c r="D16" s="7">
        <v>272</v>
      </c>
      <c r="E16" s="7">
        <v>272</v>
      </c>
      <c r="F16" s="7">
        <v>272</v>
      </c>
      <c r="G16" s="7">
        <v>272</v>
      </c>
      <c r="H16" s="7">
        <v>272</v>
      </c>
      <c r="I16" s="7">
        <v>272</v>
      </c>
      <c r="J16" s="7">
        <v>272</v>
      </c>
      <c r="K16" s="7"/>
      <c r="L16" s="7"/>
    </row>
    <row r="17" spans="1:12" x14ac:dyDescent="0.2">
      <c r="A17" s="1" t="s">
        <v>7</v>
      </c>
      <c r="C17" s="7">
        <v>10</v>
      </c>
      <c r="D17" s="7">
        <v>10</v>
      </c>
      <c r="E17" s="7">
        <v>10</v>
      </c>
      <c r="F17" s="7">
        <v>10</v>
      </c>
      <c r="G17" s="7">
        <v>10</v>
      </c>
      <c r="H17" s="7">
        <v>10</v>
      </c>
      <c r="I17" s="7">
        <v>10</v>
      </c>
      <c r="J17" s="7">
        <v>10</v>
      </c>
      <c r="K17" s="7"/>
      <c r="L17" s="7"/>
    </row>
    <row r="18" spans="1:12" x14ac:dyDescent="0.2">
      <c r="A18" s="1" t="s">
        <v>37</v>
      </c>
      <c r="C18" s="7">
        <v>40</v>
      </c>
      <c r="D18" s="7">
        <v>40</v>
      </c>
      <c r="E18" s="7">
        <v>40</v>
      </c>
      <c r="F18" s="7">
        <v>40</v>
      </c>
      <c r="G18" s="7">
        <v>40</v>
      </c>
      <c r="H18" s="7">
        <v>40</v>
      </c>
      <c r="I18" s="7">
        <v>40</v>
      </c>
      <c r="J18" s="7">
        <v>40</v>
      </c>
      <c r="K18" s="7"/>
      <c r="L18" s="7"/>
    </row>
    <row r="19" spans="1:12" x14ac:dyDescent="0.2">
      <c r="A19" s="1" t="s">
        <v>31</v>
      </c>
      <c r="C19" s="7">
        <v>10</v>
      </c>
      <c r="D19" s="7">
        <v>10</v>
      </c>
      <c r="E19" s="7">
        <v>10</v>
      </c>
      <c r="F19" s="7">
        <v>10</v>
      </c>
      <c r="G19" s="7">
        <v>10</v>
      </c>
      <c r="H19" s="7">
        <v>10</v>
      </c>
      <c r="I19" s="7">
        <v>10</v>
      </c>
      <c r="J19" s="7">
        <v>10</v>
      </c>
      <c r="K19" s="7"/>
      <c r="L19" s="7"/>
    </row>
    <row r="20" spans="1:12" x14ac:dyDescent="0.2">
      <c r="A20" s="1" t="s">
        <v>8</v>
      </c>
      <c r="C20" s="7">
        <v>5</v>
      </c>
      <c r="D20" s="7">
        <v>5</v>
      </c>
      <c r="E20" s="7">
        <v>5</v>
      </c>
      <c r="F20" s="7">
        <v>5</v>
      </c>
      <c r="G20" s="7">
        <v>5</v>
      </c>
      <c r="H20" s="7">
        <v>5</v>
      </c>
      <c r="I20" s="7">
        <v>5</v>
      </c>
      <c r="J20" s="7">
        <v>5</v>
      </c>
      <c r="K20" s="7"/>
      <c r="L20" s="7"/>
    </row>
    <row r="21" spans="1:12" x14ac:dyDescent="0.2">
      <c r="C21" s="7"/>
      <c r="D21" s="7"/>
      <c r="E21" s="7"/>
      <c r="F21" s="7"/>
      <c r="G21" s="7"/>
      <c r="H21" s="7"/>
      <c r="I21" s="7"/>
      <c r="J21" s="7"/>
      <c r="K21" s="7"/>
      <c r="L21" s="7"/>
    </row>
    <row r="22" spans="1:12" x14ac:dyDescent="0.2">
      <c r="A22" s="1" t="s">
        <v>2</v>
      </c>
      <c r="C22" s="7">
        <f t="shared" ref="C22:J22" si="2">SUM(C16:C21)</f>
        <v>337</v>
      </c>
      <c r="D22" s="7">
        <f t="shared" si="2"/>
        <v>337</v>
      </c>
      <c r="E22" s="7">
        <f t="shared" si="2"/>
        <v>337</v>
      </c>
      <c r="F22" s="7">
        <f t="shared" si="2"/>
        <v>337</v>
      </c>
      <c r="G22" s="7">
        <f t="shared" si="2"/>
        <v>337</v>
      </c>
      <c r="H22" s="7">
        <f t="shared" si="2"/>
        <v>337</v>
      </c>
      <c r="I22" s="7">
        <f t="shared" si="2"/>
        <v>337</v>
      </c>
      <c r="J22" s="7">
        <f t="shared" si="2"/>
        <v>337</v>
      </c>
      <c r="K22" s="7"/>
      <c r="L22" s="7"/>
    </row>
    <row r="23" spans="1:12" x14ac:dyDescent="0.2">
      <c r="A23" s="1" t="s">
        <v>32</v>
      </c>
      <c r="C23" s="7">
        <f>C22*6%</f>
        <v>20.22</v>
      </c>
      <c r="D23" s="7">
        <f t="shared" ref="D23:J23" si="3">D22*6%</f>
        <v>20.22</v>
      </c>
      <c r="E23" s="7">
        <f t="shared" si="3"/>
        <v>20.22</v>
      </c>
      <c r="F23" s="7">
        <f t="shared" si="3"/>
        <v>20.22</v>
      </c>
      <c r="G23" s="7">
        <f t="shared" si="3"/>
        <v>20.22</v>
      </c>
      <c r="H23" s="7">
        <f t="shared" si="3"/>
        <v>20.22</v>
      </c>
      <c r="I23" s="7">
        <f t="shared" si="3"/>
        <v>20.22</v>
      </c>
      <c r="J23" s="7">
        <f t="shared" si="3"/>
        <v>20.22</v>
      </c>
      <c r="K23" s="7"/>
      <c r="L23" s="7"/>
    </row>
    <row r="24" spans="1:12" x14ac:dyDescent="0.2">
      <c r="C24" s="7"/>
      <c r="D24" s="7"/>
      <c r="E24" s="7"/>
      <c r="F24" s="7"/>
      <c r="G24" s="7"/>
      <c r="H24" s="7"/>
      <c r="I24" s="7"/>
      <c r="J24" s="7"/>
      <c r="K24" s="7"/>
      <c r="L24" s="7"/>
    </row>
    <row r="25" spans="1:12" s="8" customFormat="1" x14ac:dyDescent="0.2">
      <c r="A25" s="8" t="s">
        <v>3</v>
      </c>
      <c r="C25" s="7">
        <f t="shared" ref="C25:J25" si="4">SUM(C22:C24)</f>
        <v>357.22</v>
      </c>
      <c r="D25" s="7">
        <f t="shared" si="4"/>
        <v>357.22</v>
      </c>
      <c r="E25" s="7">
        <f t="shared" si="4"/>
        <v>357.22</v>
      </c>
      <c r="F25" s="7">
        <f t="shared" si="4"/>
        <v>357.22</v>
      </c>
      <c r="G25" s="7">
        <f t="shared" si="4"/>
        <v>357.22</v>
      </c>
      <c r="H25" s="7">
        <f t="shared" si="4"/>
        <v>357.22</v>
      </c>
      <c r="I25" s="7">
        <f t="shared" si="4"/>
        <v>357.22</v>
      </c>
      <c r="J25" s="7">
        <f t="shared" si="4"/>
        <v>357.22</v>
      </c>
      <c r="K25" s="7"/>
      <c r="L25" s="7"/>
    </row>
    <row r="26" spans="1:12" x14ac:dyDescent="0.2">
      <c r="C26" s="7"/>
      <c r="D26" s="7"/>
      <c r="E26" s="7"/>
      <c r="F26" s="7"/>
      <c r="G26" s="7"/>
      <c r="H26" s="7"/>
      <c r="I26" s="7"/>
      <c r="J26" s="7"/>
      <c r="K26" s="7"/>
      <c r="L26" s="7"/>
    </row>
    <row r="27" spans="1:12" x14ac:dyDescent="0.2">
      <c r="A27" s="1" t="s">
        <v>4</v>
      </c>
      <c r="C27" s="2">
        <f>C25*C14/1000</f>
        <v>47.59544525318401</v>
      </c>
      <c r="D27" s="2">
        <f t="shared" ref="D27:J27" si="5">D25*D14/1000</f>
        <v>54.412572006000005</v>
      </c>
      <c r="E27" s="2">
        <f t="shared" si="5"/>
        <v>61.63070621486402</v>
      </c>
      <c r="F27" s="2">
        <f t="shared" si="5"/>
        <v>69.249847879775999</v>
      </c>
      <c r="G27" s="2">
        <f t="shared" si="5"/>
        <v>79.722135976944003</v>
      </c>
      <c r="H27" s="2">
        <f t="shared" si="5"/>
        <v>88.27696170596802</v>
      </c>
      <c r="I27" s="2">
        <f t="shared" si="5"/>
        <v>97.232794891040015</v>
      </c>
      <c r="J27" s="2">
        <f t="shared" si="5"/>
        <v>106.58963553216002</v>
      </c>
      <c r="K27" s="2"/>
      <c r="L27" s="2"/>
    </row>
    <row r="28" spans="1:12" x14ac:dyDescent="0.2">
      <c r="A28" s="1" t="s">
        <v>5</v>
      </c>
      <c r="C28" s="2">
        <v>12</v>
      </c>
      <c r="D28" s="2">
        <v>12</v>
      </c>
      <c r="E28" s="2">
        <v>12</v>
      </c>
      <c r="F28" s="2">
        <v>12</v>
      </c>
      <c r="G28" s="2">
        <v>12</v>
      </c>
      <c r="H28" s="2">
        <v>12</v>
      </c>
      <c r="I28" s="2">
        <v>12</v>
      </c>
      <c r="J28" s="2">
        <v>12</v>
      </c>
      <c r="K28" s="2"/>
      <c r="L28" s="2"/>
    </row>
    <row r="29" spans="1:12" x14ac:dyDescent="0.2">
      <c r="A29" s="1" t="s">
        <v>22</v>
      </c>
      <c r="C29" s="2">
        <v>0.45</v>
      </c>
      <c r="D29" s="2">
        <v>0.45</v>
      </c>
      <c r="E29" s="2">
        <v>0.45</v>
      </c>
      <c r="F29" s="2">
        <v>0.45</v>
      </c>
      <c r="G29" s="2">
        <v>0.45</v>
      </c>
      <c r="H29" s="2">
        <v>0.45</v>
      </c>
      <c r="I29" s="2">
        <v>0.45</v>
      </c>
      <c r="J29" s="2">
        <v>0.45</v>
      </c>
      <c r="K29" s="2"/>
      <c r="L29" s="2"/>
    </row>
    <row r="30" spans="1:12" x14ac:dyDescent="0.2">
      <c r="A30" s="1" t="s">
        <v>17</v>
      </c>
      <c r="C30" s="2">
        <v>0.4</v>
      </c>
      <c r="D30" s="2">
        <v>0.4</v>
      </c>
      <c r="E30" s="2">
        <v>0.4</v>
      </c>
      <c r="F30" s="2">
        <v>0.4</v>
      </c>
      <c r="G30" s="2">
        <v>0.4</v>
      </c>
      <c r="H30" s="2">
        <v>0.4</v>
      </c>
      <c r="I30" s="2">
        <v>0.4</v>
      </c>
      <c r="J30" s="2">
        <v>0.4</v>
      </c>
      <c r="K30" s="2"/>
      <c r="L30" s="2"/>
    </row>
    <row r="31" spans="1:12" x14ac:dyDescent="0.2">
      <c r="A31" s="1" t="s">
        <v>18</v>
      </c>
      <c r="C31" s="2">
        <v>1</v>
      </c>
      <c r="D31" s="2">
        <v>1</v>
      </c>
      <c r="E31" s="2">
        <v>1</v>
      </c>
      <c r="F31" s="2">
        <v>1</v>
      </c>
      <c r="G31" s="2">
        <v>1</v>
      </c>
      <c r="H31" s="2">
        <v>1</v>
      </c>
      <c r="I31" s="2">
        <v>1</v>
      </c>
      <c r="J31" s="2">
        <v>1</v>
      </c>
      <c r="K31" s="2"/>
      <c r="L31" s="2"/>
    </row>
    <row r="32" spans="1:12" x14ac:dyDescent="0.2">
      <c r="A32" s="1" t="s">
        <v>9</v>
      </c>
      <c r="C32" s="2">
        <v>1</v>
      </c>
      <c r="D32" s="2">
        <v>1</v>
      </c>
      <c r="E32" s="2">
        <v>1</v>
      </c>
      <c r="F32" s="2">
        <v>1</v>
      </c>
      <c r="G32" s="2">
        <v>1</v>
      </c>
      <c r="H32" s="2">
        <v>1</v>
      </c>
      <c r="I32" s="2">
        <v>1</v>
      </c>
      <c r="J32" s="2">
        <v>1</v>
      </c>
      <c r="K32" s="2"/>
      <c r="L32" s="2"/>
    </row>
    <row r="33" spans="1:12" x14ac:dyDescent="0.2">
      <c r="A33" s="1" t="s">
        <v>20</v>
      </c>
      <c r="C33" s="2">
        <v>1.5</v>
      </c>
      <c r="D33" s="2">
        <v>1.5</v>
      </c>
      <c r="E33" s="2">
        <v>1.5</v>
      </c>
      <c r="F33" s="2">
        <v>1.5</v>
      </c>
      <c r="G33" s="2">
        <v>1.5</v>
      </c>
      <c r="H33" s="2">
        <v>1.5</v>
      </c>
      <c r="I33" s="2">
        <v>1.5</v>
      </c>
      <c r="J33" s="2">
        <v>1.5</v>
      </c>
      <c r="K33" s="2"/>
      <c r="L33" s="2"/>
    </row>
    <row r="34" spans="1:12" x14ac:dyDescent="0.2">
      <c r="C34" s="2"/>
      <c r="D34" s="2"/>
      <c r="E34" s="2"/>
      <c r="F34" s="2"/>
      <c r="G34" s="2"/>
      <c r="H34" s="2"/>
      <c r="I34" s="2"/>
      <c r="J34" s="2"/>
      <c r="K34" s="2"/>
      <c r="L34" s="2"/>
    </row>
    <row r="35" spans="1:12" x14ac:dyDescent="0.2">
      <c r="A35" s="1" t="s">
        <v>2</v>
      </c>
      <c r="C35" s="2">
        <f>SUM(C27:C34)</f>
        <v>63.945445253184012</v>
      </c>
      <c r="D35" s="2">
        <f t="shared" ref="D35:J35" si="6">SUM(D27:D34)</f>
        <v>70.762572006000013</v>
      </c>
      <c r="E35" s="2">
        <f t="shared" si="6"/>
        <v>77.980706214864028</v>
      </c>
      <c r="F35" s="2">
        <f t="shared" si="6"/>
        <v>85.599847879776007</v>
      </c>
      <c r="G35" s="2">
        <f t="shared" si="6"/>
        <v>96.072135976944011</v>
      </c>
      <c r="H35" s="2">
        <f t="shared" si="6"/>
        <v>104.62696170596803</v>
      </c>
      <c r="I35" s="2">
        <f t="shared" si="6"/>
        <v>113.58279489104002</v>
      </c>
      <c r="J35" s="2">
        <f t="shared" si="6"/>
        <v>122.93963553216003</v>
      </c>
      <c r="K35" s="2"/>
      <c r="L35" s="2"/>
    </row>
    <row r="36" spans="1:12" x14ac:dyDescent="0.2">
      <c r="A36" s="1" t="s">
        <v>19</v>
      </c>
      <c r="C36" s="2">
        <f t="shared" ref="C36:J36" si="7">C35*1%</f>
        <v>0.63945445253184008</v>
      </c>
      <c r="D36" s="2">
        <f t="shared" si="7"/>
        <v>0.70762572006000013</v>
      </c>
      <c r="E36" s="2">
        <f t="shared" si="7"/>
        <v>0.77980706214864026</v>
      </c>
      <c r="F36" s="2">
        <f t="shared" si="7"/>
        <v>0.85599847879776014</v>
      </c>
      <c r="G36" s="2">
        <f t="shared" si="7"/>
        <v>0.96072135976944018</v>
      </c>
      <c r="H36" s="2">
        <f t="shared" si="7"/>
        <v>1.0462696170596804</v>
      </c>
      <c r="I36" s="2">
        <f t="shared" si="7"/>
        <v>1.1358279489104002</v>
      </c>
      <c r="J36" s="2">
        <f t="shared" si="7"/>
        <v>1.2293963553216003</v>
      </c>
      <c r="K36" s="2"/>
      <c r="L36" s="2"/>
    </row>
    <row r="37" spans="1:12" x14ac:dyDescent="0.2">
      <c r="C37" s="2"/>
      <c r="D37" s="2"/>
      <c r="E37" s="2"/>
      <c r="F37" s="2"/>
      <c r="G37" s="2"/>
      <c r="H37" s="2"/>
      <c r="I37" s="2"/>
      <c r="J37" s="2"/>
      <c r="K37" s="2"/>
      <c r="L37" s="2"/>
    </row>
    <row r="38" spans="1:12" x14ac:dyDescent="0.2">
      <c r="A38" s="1" t="s">
        <v>2</v>
      </c>
      <c r="C38" s="2">
        <f t="shared" ref="C38:J38" si="8">SUM(C35:C37)</f>
        <v>64.584899705715856</v>
      </c>
      <c r="D38" s="2">
        <f t="shared" si="8"/>
        <v>71.470197726060007</v>
      </c>
      <c r="E38" s="2">
        <f t="shared" si="8"/>
        <v>78.760513277012663</v>
      </c>
      <c r="F38" s="2">
        <f t="shared" si="8"/>
        <v>86.455846358573766</v>
      </c>
      <c r="G38" s="2">
        <f t="shared" si="8"/>
        <v>97.032857336713448</v>
      </c>
      <c r="H38" s="2">
        <f t="shared" si="8"/>
        <v>105.67323132302771</v>
      </c>
      <c r="I38" s="2">
        <f t="shared" si="8"/>
        <v>114.71862283995043</v>
      </c>
      <c r="J38" s="2">
        <f t="shared" si="8"/>
        <v>124.16903188748162</v>
      </c>
      <c r="K38" s="2"/>
      <c r="L38" s="2"/>
    </row>
    <row r="39" spans="1:12" x14ac:dyDescent="0.2">
      <c r="A39" s="1" t="s">
        <v>42</v>
      </c>
      <c r="C39" s="2">
        <f>C38*20%</f>
        <v>12.916979941143172</v>
      </c>
      <c r="D39" s="2">
        <f t="shared" ref="D39:J39" si="9">D38*20%</f>
        <v>14.294039545212001</v>
      </c>
      <c r="E39" s="2">
        <f t="shared" si="9"/>
        <v>15.752102655402533</v>
      </c>
      <c r="F39" s="2">
        <f t="shared" si="9"/>
        <v>17.291169271714754</v>
      </c>
      <c r="G39" s="2">
        <f t="shared" si="9"/>
        <v>19.40657146734269</v>
      </c>
      <c r="H39" s="2">
        <f t="shared" si="9"/>
        <v>21.134646264605543</v>
      </c>
      <c r="I39" s="2">
        <f t="shared" si="9"/>
        <v>22.943724567990088</v>
      </c>
      <c r="J39" s="2">
        <f t="shared" si="9"/>
        <v>24.833806377496327</v>
      </c>
      <c r="K39" s="2"/>
      <c r="L39" s="2"/>
    </row>
    <row r="40" spans="1:12" x14ac:dyDescent="0.2">
      <c r="C40" s="2"/>
      <c r="D40" s="2"/>
      <c r="E40" s="2"/>
      <c r="F40" s="2"/>
      <c r="G40" s="2"/>
      <c r="H40" s="2"/>
      <c r="I40" s="2"/>
      <c r="J40" s="2"/>
      <c r="K40" s="2"/>
      <c r="L40" s="2"/>
    </row>
    <row r="41" spans="1:12" x14ac:dyDescent="0.2">
      <c r="A41" s="1" t="s">
        <v>6</v>
      </c>
      <c r="C41" s="2">
        <f t="shared" ref="C41:J41" si="10">SUM(C38:C40)</f>
        <v>77.501879646859024</v>
      </c>
      <c r="D41" s="2">
        <f t="shared" si="10"/>
        <v>85.764237271272009</v>
      </c>
      <c r="E41" s="2">
        <f t="shared" si="10"/>
        <v>94.512615932415201</v>
      </c>
      <c r="F41" s="2">
        <f t="shared" si="10"/>
        <v>103.74701563028852</v>
      </c>
      <c r="G41" s="2">
        <f t="shared" si="10"/>
        <v>116.43942880405613</v>
      </c>
      <c r="H41" s="2">
        <f t="shared" si="10"/>
        <v>126.80787758763324</v>
      </c>
      <c r="I41" s="2">
        <f t="shared" si="10"/>
        <v>137.6623474079405</v>
      </c>
      <c r="J41" s="2">
        <f t="shared" si="10"/>
        <v>149.00283826497795</v>
      </c>
      <c r="K41" s="2"/>
      <c r="L41" s="2"/>
    </row>
    <row r="42" spans="1:12" x14ac:dyDescent="0.2">
      <c r="C42" s="2"/>
      <c r="D42" s="2"/>
      <c r="E42" s="2"/>
      <c r="F42" s="2"/>
      <c r="G42" s="2"/>
      <c r="H42" s="2"/>
      <c r="I42" s="2"/>
      <c r="J42" s="2"/>
      <c r="K42" s="2"/>
      <c r="L42" s="2"/>
    </row>
    <row r="43" spans="1:12" x14ac:dyDescent="0.2">
      <c r="A43" s="1" t="s">
        <v>29</v>
      </c>
      <c r="C43" s="2">
        <f>C41/85</f>
        <v>0.9117868193748121</v>
      </c>
      <c r="D43" s="2">
        <f t="shared" ref="D43:J43" si="11">D41/85</f>
        <v>1.0089910267208471</v>
      </c>
      <c r="E43" s="2">
        <f t="shared" si="11"/>
        <v>1.1119131286166495</v>
      </c>
      <c r="F43" s="2">
        <f t="shared" si="11"/>
        <v>1.2205531250622179</v>
      </c>
      <c r="G43" s="2">
        <f t="shared" si="11"/>
        <v>1.3698756329888957</v>
      </c>
      <c r="H43" s="2">
        <f t="shared" si="11"/>
        <v>1.4918573833839206</v>
      </c>
      <c r="I43" s="2">
        <f t="shared" si="11"/>
        <v>1.6195570283287117</v>
      </c>
      <c r="J43" s="2">
        <f t="shared" si="11"/>
        <v>1.75297456782327</v>
      </c>
      <c r="K43" s="2"/>
      <c r="L43" s="2"/>
    </row>
    <row r="44" spans="1:12" x14ac:dyDescent="0.2">
      <c r="C44" s="2"/>
      <c r="D44" s="2"/>
      <c r="E44" s="2"/>
      <c r="F44" s="2"/>
      <c r="G44" s="2"/>
      <c r="H44" s="2"/>
      <c r="I44" s="2"/>
      <c r="J44" s="2"/>
      <c r="K44" s="2"/>
      <c r="L44" s="2"/>
    </row>
    <row r="45" spans="1:12" x14ac:dyDescent="0.2">
      <c r="A45" s="1" t="s">
        <v>39</v>
      </c>
      <c r="C45" s="2">
        <v>7.0000000000000007E-2</v>
      </c>
      <c r="D45" s="2">
        <v>7.0000000000000007E-2</v>
      </c>
      <c r="E45" s="2">
        <v>7.0000000000000007E-2</v>
      </c>
      <c r="F45" s="2">
        <v>7.0000000000000007E-2</v>
      </c>
      <c r="G45" s="2">
        <v>7.0000000000000007E-2</v>
      </c>
      <c r="H45" s="2">
        <v>7.0000000000000007E-2</v>
      </c>
      <c r="I45" s="2">
        <v>7.0000000000000007E-2</v>
      </c>
      <c r="J45" s="2">
        <v>7.0000000000000007E-2</v>
      </c>
      <c r="K45" s="2"/>
      <c r="L45" s="2"/>
    </row>
    <row r="46" spans="1:12" x14ac:dyDescent="0.2">
      <c r="A46" s="1" t="s">
        <v>40</v>
      </c>
      <c r="C46" s="2">
        <f>0.3*34.5%</f>
        <v>0.10349999999999999</v>
      </c>
      <c r="D46" s="2">
        <f t="shared" ref="D46:J46" si="12">0.3*34.5%</f>
        <v>0.10349999999999999</v>
      </c>
      <c r="E46" s="2">
        <f t="shared" si="12"/>
        <v>0.10349999999999999</v>
      </c>
      <c r="F46" s="2">
        <f t="shared" si="12"/>
        <v>0.10349999999999999</v>
      </c>
      <c r="G46" s="2">
        <f t="shared" si="12"/>
        <v>0.10349999999999999</v>
      </c>
      <c r="H46" s="2">
        <f t="shared" si="12"/>
        <v>0.10349999999999999</v>
      </c>
      <c r="I46" s="2">
        <f t="shared" si="12"/>
        <v>0.10349999999999999</v>
      </c>
      <c r="J46" s="2">
        <f t="shared" si="12"/>
        <v>0.10349999999999999</v>
      </c>
      <c r="K46" s="2"/>
      <c r="L46" s="2"/>
    </row>
    <row r="47" spans="1:12" x14ac:dyDescent="0.2">
      <c r="C47" s="2"/>
      <c r="D47" s="2"/>
    </row>
    <row r="48" spans="1:12" s="6" customFormat="1" x14ac:dyDescent="0.2">
      <c r="A48" s="6" t="s">
        <v>41</v>
      </c>
      <c r="C48" s="5">
        <f>SUM(C43:C47)</f>
        <v>1.085286819374812</v>
      </c>
      <c r="D48" s="5">
        <f t="shared" ref="D48:J48" si="13">SUM(D43:D47)</f>
        <v>1.182491026720847</v>
      </c>
      <c r="E48" s="5">
        <f t="shared" si="13"/>
        <v>1.2854131286166495</v>
      </c>
      <c r="F48" s="5">
        <f t="shared" si="13"/>
        <v>1.3940531250622179</v>
      </c>
      <c r="G48" s="5">
        <f t="shared" si="13"/>
        <v>1.5433756329888957</v>
      </c>
      <c r="H48" s="5">
        <f t="shared" si="13"/>
        <v>1.6653573833839206</v>
      </c>
      <c r="I48" s="5">
        <f t="shared" si="13"/>
        <v>1.7930570283287117</v>
      </c>
      <c r="J48" s="5">
        <f t="shared" si="13"/>
        <v>1.92647456782327</v>
      </c>
    </row>
    <row r="49" spans="3:4" x14ac:dyDescent="0.2">
      <c r="C49" s="2"/>
      <c r="D49" s="2"/>
    </row>
    <row r="50" spans="3:4" x14ac:dyDescent="0.2">
      <c r="C50" s="2"/>
      <c r="D50" s="2"/>
    </row>
    <row r="51" spans="3:4" x14ac:dyDescent="0.2">
      <c r="C51" s="2"/>
      <c r="D51" s="2"/>
    </row>
    <row r="52" spans="3:4" x14ac:dyDescent="0.2">
      <c r="C52" s="2"/>
      <c r="D52" s="2"/>
    </row>
    <row r="53" spans="3:4" x14ac:dyDescent="0.2">
      <c r="C53" s="2"/>
      <c r="D53" s="2"/>
    </row>
    <row r="54" spans="3:4" x14ac:dyDescent="0.2">
      <c r="C54" s="2"/>
      <c r="D54" s="2"/>
    </row>
    <row r="55" spans="3:4" x14ac:dyDescent="0.2">
      <c r="C55" s="2"/>
      <c r="D55" s="2"/>
    </row>
    <row r="56" spans="3:4" x14ac:dyDescent="0.2">
      <c r="C56" s="2"/>
      <c r="D56" s="2"/>
    </row>
    <row r="57" spans="3:4" x14ac:dyDescent="0.2">
      <c r="C57" s="2"/>
      <c r="D57" s="2"/>
    </row>
    <row r="58" spans="3:4" x14ac:dyDescent="0.2">
      <c r="C58" s="2"/>
      <c r="D58" s="2"/>
    </row>
    <row r="59" spans="3:4" x14ac:dyDescent="0.2">
      <c r="C59" s="2"/>
      <c r="D59" s="2"/>
    </row>
    <row r="60" spans="3:4" x14ac:dyDescent="0.2">
      <c r="C60" s="2"/>
      <c r="D60" s="2"/>
    </row>
    <row r="61" spans="3:4" x14ac:dyDescent="0.2">
      <c r="C61" s="2"/>
      <c r="D61" s="2"/>
    </row>
    <row r="62" spans="3:4" x14ac:dyDescent="0.2">
      <c r="C62" s="2"/>
      <c r="D62" s="2"/>
    </row>
    <row r="63" spans="3:4" x14ac:dyDescent="0.2">
      <c r="C63" s="2"/>
      <c r="D63" s="2"/>
    </row>
    <row r="64" spans="3:4" x14ac:dyDescent="0.2">
      <c r="C64" s="2"/>
      <c r="D64" s="2"/>
    </row>
    <row r="65" spans="3:4" x14ac:dyDescent="0.2">
      <c r="C65" s="2"/>
      <c r="D65" s="2"/>
    </row>
    <row r="66" spans="3:4" x14ac:dyDescent="0.2">
      <c r="C66" s="2"/>
      <c r="D66" s="2"/>
    </row>
    <row r="67" spans="3:4" x14ac:dyDescent="0.2">
      <c r="C67" s="10"/>
      <c r="D67" s="10"/>
    </row>
    <row r="68" spans="3:4" x14ac:dyDescent="0.2">
      <c r="C68" s="2"/>
      <c r="D68" s="2"/>
    </row>
    <row r="69" spans="3:4" x14ac:dyDescent="0.2">
      <c r="C69" s="10"/>
      <c r="D69" s="10"/>
    </row>
    <row r="70" spans="3:4" x14ac:dyDescent="0.2">
      <c r="C70" s="2"/>
      <c r="D70" s="2"/>
    </row>
    <row r="71" spans="3:4" x14ac:dyDescent="0.2">
      <c r="C71" s="10"/>
      <c r="D71" s="10"/>
    </row>
    <row r="72" spans="3:4" x14ac:dyDescent="0.2">
      <c r="C72" s="2"/>
      <c r="D72" s="2"/>
    </row>
    <row r="73" spans="3:4" x14ac:dyDescent="0.2">
      <c r="C73" s="2"/>
      <c r="D73" s="2"/>
    </row>
  </sheetData>
  <pageMargins left="0.39370078740157483" right="0.39370078740157483" top="0.39370078740157483" bottom="0.39370078740157483" header="0.39370078740157483" footer="0.39370078740157483"/>
  <pageSetup paperSize="9" scale="91" orientation="portrait"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B89835-CD4E-4571-97CF-4AFA02704A51}">
  <sheetPr>
    <pageSetUpPr fitToPage="1"/>
  </sheetPr>
  <dimension ref="A1:L73"/>
  <sheetViews>
    <sheetView zoomScaleNormal="100" workbookViewId="0">
      <selection activeCell="C10" sqref="C10"/>
    </sheetView>
  </sheetViews>
  <sheetFormatPr defaultColWidth="9.14453125" defaultRowHeight="15" x14ac:dyDescent="0.2"/>
  <cols>
    <col min="1" max="1" width="18.16015625" style="1" bestFit="1" customWidth="1"/>
    <col min="2" max="2" width="5.6484375" style="1" customWidth="1"/>
    <col min="3" max="10" width="17.21875" style="1" bestFit="1" customWidth="1"/>
    <col min="11" max="12" width="13.85546875" style="1" bestFit="1" customWidth="1"/>
    <col min="13" max="16384" width="9.14453125" style="1"/>
  </cols>
  <sheetData>
    <row r="1" spans="1:12" ht="30" customHeight="1" x14ac:dyDescent="0.2">
      <c r="A1" s="1" t="s">
        <v>28</v>
      </c>
      <c r="C1" s="9" t="s">
        <v>30</v>
      </c>
      <c r="D1" s="9" t="s">
        <v>30</v>
      </c>
      <c r="E1" s="9" t="s">
        <v>30</v>
      </c>
      <c r="F1" s="9" t="s">
        <v>30</v>
      </c>
      <c r="G1" s="9" t="s">
        <v>30</v>
      </c>
      <c r="H1" s="9" t="s">
        <v>30</v>
      </c>
      <c r="I1" s="9" t="s">
        <v>30</v>
      </c>
      <c r="J1" s="9" t="s">
        <v>30</v>
      </c>
      <c r="K1" s="9"/>
      <c r="L1" s="9"/>
    </row>
    <row r="2" spans="1:12" x14ac:dyDescent="0.2">
      <c r="A2" s="1" t="s">
        <v>0</v>
      </c>
      <c r="C2" s="1" t="s">
        <v>36</v>
      </c>
      <c r="D2" s="1" t="s">
        <v>36</v>
      </c>
      <c r="E2" s="1" t="s">
        <v>36</v>
      </c>
      <c r="F2" s="1" t="s">
        <v>36</v>
      </c>
      <c r="G2" s="1" t="s">
        <v>36</v>
      </c>
      <c r="H2" s="1" t="s">
        <v>36</v>
      </c>
      <c r="I2" s="1" t="s">
        <v>36</v>
      </c>
      <c r="J2" s="1" t="s">
        <v>36</v>
      </c>
    </row>
    <row r="3" spans="1:12" x14ac:dyDescent="0.2">
      <c r="A3" s="1" t="s">
        <v>1</v>
      </c>
      <c r="C3" s="1">
        <v>145</v>
      </c>
      <c r="D3" s="1">
        <v>145</v>
      </c>
      <c r="E3" s="1">
        <v>145</v>
      </c>
      <c r="F3" s="1">
        <v>145</v>
      </c>
      <c r="G3" s="1">
        <v>145</v>
      </c>
      <c r="H3" s="1">
        <v>145</v>
      </c>
      <c r="I3" s="1">
        <v>145</v>
      </c>
      <c r="J3" s="1">
        <v>145</v>
      </c>
    </row>
    <row r="4" spans="1:12" x14ac:dyDescent="0.2">
      <c r="C4" s="1" t="s">
        <v>23</v>
      </c>
      <c r="D4" s="1" t="s">
        <v>24</v>
      </c>
      <c r="E4" s="1" t="s">
        <v>25</v>
      </c>
      <c r="F4" s="1" t="s">
        <v>26</v>
      </c>
      <c r="G4" s="1" t="s">
        <v>27</v>
      </c>
      <c r="H4" s="1" t="s">
        <v>33</v>
      </c>
      <c r="I4" s="1" t="s">
        <v>34</v>
      </c>
      <c r="J4" s="1" t="s">
        <v>35</v>
      </c>
    </row>
    <row r="6" spans="1:12" x14ac:dyDescent="0.2">
      <c r="A6" s="1" t="s">
        <v>10</v>
      </c>
      <c r="C6" s="1">
        <v>18</v>
      </c>
      <c r="D6" s="1">
        <v>20</v>
      </c>
      <c r="E6" s="1">
        <v>22</v>
      </c>
      <c r="F6" s="1">
        <v>24</v>
      </c>
      <c r="G6" s="1">
        <v>26</v>
      </c>
      <c r="H6" s="1">
        <v>28</v>
      </c>
      <c r="I6" s="1">
        <v>30</v>
      </c>
      <c r="J6" s="1">
        <v>32</v>
      </c>
    </row>
    <row r="7" spans="1:12" x14ac:dyDescent="0.2">
      <c r="A7" s="1" t="s">
        <v>12</v>
      </c>
      <c r="C7" s="1">
        <v>27</v>
      </c>
      <c r="D7" s="1">
        <v>28</v>
      </c>
      <c r="E7" s="1">
        <v>29</v>
      </c>
      <c r="F7" s="1">
        <v>30</v>
      </c>
      <c r="G7" s="1">
        <v>32</v>
      </c>
      <c r="H7" s="1">
        <v>33</v>
      </c>
      <c r="I7" s="1">
        <v>34</v>
      </c>
      <c r="J7" s="1">
        <v>35</v>
      </c>
    </row>
    <row r="8" spans="1:12" x14ac:dyDescent="0.2">
      <c r="A8" s="1" t="s">
        <v>11</v>
      </c>
      <c r="C8" s="1">
        <v>8</v>
      </c>
      <c r="D8" s="1">
        <v>8.5</v>
      </c>
      <c r="E8" s="1">
        <v>9</v>
      </c>
      <c r="F8" s="1">
        <v>9.5</v>
      </c>
      <c r="G8" s="1">
        <v>10</v>
      </c>
      <c r="H8" s="1">
        <v>10.5</v>
      </c>
      <c r="I8" s="1">
        <v>11</v>
      </c>
      <c r="J8" s="1">
        <v>11.5</v>
      </c>
    </row>
    <row r="10" spans="1:12" x14ac:dyDescent="0.2">
      <c r="A10" s="1" t="s">
        <v>14</v>
      </c>
      <c r="C10" s="7">
        <f>C6*(C7+C8+1)*2*2.54*2.54/10000*C3</f>
        <v>121.23846720000002</v>
      </c>
      <c r="D10" s="7">
        <f t="shared" ref="D10:J10" si="0">D6*(D7+D8+1)*2*2.54*2.54/10000*D3</f>
        <v>140.32229999999998</v>
      </c>
      <c r="E10" s="7">
        <f t="shared" si="0"/>
        <v>160.52871120000003</v>
      </c>
      <c r="F10" s="7">
        <f t="shared" si="0"/>
        <v>181.8577008</v>
      </c>
      <c r="G10" s="7">
        <f t="shared" si="0"/>
        <v>209.17377519999999</v>
      </c>
      <c r="H10" s="7">
        <f t="shared" si="0"/>
        <v>233.12211440000002</v>
      </c>
      <c r="I10" s="7">
        <f t="shared" si="0"/>
        <v>258.19303200000002</v>
      </c>
      <c r="J10" s="7">
        <f t="shared" si="0"/>
        <v>284.386528</v>
      </c>
      <c r="K10" s="7"/>
      <c r="L10" s="7"/>
    </row>
    <row r="11" spans="1:12" x14ac:dyDescent="0.2">
      <c r="A11" s="1" t="s">
        <v>21</v>
      </c>
      <c r="C11" s="7">
        <v>6</v>
      </c>
      <c r="D11" s="7">
        <v>6</v>
      </c>
      <c r="E11" s="7">
        <v>6</v>
      </c>
      <c r="F11" s="7">
        <v>6</v>
      </c>
      <c r="G11" s="7">
        <v>6</v>
      </c>
      <c r="H11" s="7">
        <v>6</v>
      </c>
      <c r="I11" s="7">
        <v>6</v>
      </c>
      <c r="J11" s="7">
        <v>6</v>
      </c>
      <c r="K11" s="7"/>
      <c r="L11" s="7"/>
    </row>
    <row r="12" spans="1:12" x14ac:dyDescent="0.2">
      <c r="A12" s="1" t="s">
        <v>13</v>
      </c>
      <c r="C12" s="7">
        <v>6</v>
      </c>
      <c r="D12" s="7">
        <v>6</v>
      </c>
      <c r="E12" s="7">
        <v>6</v>
      </c>
      <c r="F12" s="7">
        <v>6</v>
      </c>
      <c r="G12" s="7">
        <v>8</v>
      </c>
      <c r="H12" s="7">
        <v>8</v>
      </c>
      <c r="I12" s="7">
        <v>8</v>
      </c>
      <c r="J12" s="7">
        <v>8</v>
      </c>
      <c r="K12" s="7"/>
      <c r="L12" s="7"/>
    </row>
    <row r="14" spans="1:12" x14ac:dyDescent="0.2">
      <c r="A14" s="1" t="s">
        <v>15</v>
      </c>
      <c r="C14" s="7">
        <f t="shared" ref="C14:J14" si="1">SUM(C10:C13)</f>
        <v>133.2384672</v>
      </c>
      <c r="D14" s="7">
        <f t="shared" si="1"/>
        <v>152.32229999999998</v>
      </c>
      <c r="E14" s="7">
        <f t="shared" si="1"/>
        <v>172.52871120000003</v>
      </c>
      <c r="F14" s="7">
        <f t="shared" si="1"/>
        <v>193.8577008</v>
      </c>
      <c r="G14" s="7">
        <f t="shared" si="1"/>
        <v>223.17377519999999</v>
      </c>
      <c r="H14" s="7">
        <f t="shared" si="1"/>
        <v>247.12211440000002</v>
      </c>
      <c r="I14" s="7">
        <f t="shared" si="1"/>
        <v>272.19303200000002</v>
      </c>
      <c r="J14" s="7">
        <f t="shared" si="1"/>
        <v>298.386528</v>
      </c>
      <c r="K14" s="7"/>
      <c r="L14" s="7"/>
    </row>
    <row r="16" spans="1:12" x14ac:dyDescent="0.2">
      <c r="A16" s="1" t="s">
        <v>16</v>
      </c>
      <c r="C16" s="7">
        <v>272</v>
      </c>
      <c r="D16" s="7">
        <v>272</v>
      </c>
      <c r="E16" s="7">
        <v>272</v>
      </c>
      <c r="F16" s="7">
        <v>272</v>
      </c>
      <c r="G16" s="7">
        <v>272</v>
      </c>
      <c r="H16" s="7">
        <v>272</v>
      </c>
      <c r="I16" s="7">
        <v>272</v>
      </c>
      <c r="J16" s="7">
        <v>272</v>
      </c>
      <c r="K16" s="7"/>
      <c r="L16" s="7"/>
    </row>
    <row r="17" spans="1:12" x14ac:dyDescent="0.2">
      <c r="A17" s="1" t="s">
        <v>7</v>
      </c>
      <c r="C17" s="7">
        <v>10</v>
      </c>
      <c r="D17" s="7">
        <v>10</v>
      </c>
      <c r="E17" s="7">
        <v>10</v>
      </c>
      <c r="F17" s="7">
        <v>10</v>
      </c>
      <c r="G17" s="7">
        <v>10</v>
      </c>
      <c r="H17" s="7">
        <v>10</v>
      </c>
      <c r="I17" s="7">
        <v>10</v>
      </c>
      <c r="J17" s="7">
        <v>10</v>
      </c>
      <c r="K17" s="7"/>
      <c r="L17" s="7"/>
    </row>
    <row r="18" spans="1:12" x14ac:dyDescent="0.2">
      <c r="A18" s="1" t="s">
        <v>37</v>
      </c>
      <c r="C18" s="7">
        <v>90</v>
      </c>
      <c r="D18" s="7">
        <v>90</v>
      </c>
      <c r="E18" s="7">
        <v>90</v>
      </c>
      <c r="F18" s="7">
        <v>90</v>
      </c>
      <c r="G18" s="7">
        <v>90</v>
      </c>
      <c r="H18" s="7">
        <v>90</v>
      </c>
      <c r="I18" s="7">
        <v>90</v>
      </c>
      <c r="J18" s="7">
        <v>90</v>
      </c>
      <c r="K18" s="7"/>
      <c r="L18" s="7"/>
    </row>
    <row r="19" spans="1:12" x14ac:dyDescent="0.2">
      <c r="A19" s="1" t="s">
        <v>31</v>
      </c>
      <c r="C19" s="7">
        <v>10</v>
      </c>
      <c r="D19" s="7">
        <v>10</v>
      </c>
      <c r="E19" s="7">
        <v>10</v>
      </c>
      <c r="F19" s="7">
        <v>10</v>
      </c>
      <c r="G19" s="7">
        <v>10</v>
      </c>
      <c r="H19" s="7">
        <v>10</v>
      </c>
      <c r="I19" s="7">
        <v>10</v>
      </c>
      <c r="J19" s="7">
        <v>10</v>
      </c>
      <c r="K19" s="7"/>
      <c r="L19" s="7"/>
    </row>
    <row r="20" spans="1:12" x14ac:dyDescent="0.2">
      <c r="A20" s="1" t="s">
        <v>8</v>
      </c>
      <c r="C20" s="7">
        <v>5</v>
      </c>
      <c r="D20" s="7">
        <v>5</v>
      </c>
      <c r="E20" s="7">
        <v>5</v>
      </c>
      <c r="F20" s="7">
        <v>5</v>
      </c>
      <c r="G20" s="7">
        <v>5</v>
      </c>
      <c r="H20" s="7">
        <v>5</v>
      </c>
      <c r="I20" s="7">
        <v>5</v>
      </c>
      <c r="J20" s="7">
        <v>5</v>
      </c>
      <c r="K20" s="7"/>
      <c r="L20" s="7"/>
    </row>
    <row r="21" spans="1:12" x14ac:dyDescent="0.2">
      <c r="C21" s="7"/>
      <c r="D21" s="7"/>
      <c r="E21" s="7"/>
      <c r="F21" s="7"/>
      <c r="G21" s="7"/>
      <c r="H21" s="7"/>
      <c r="I21" s="7"/>
      <c r="J21" s="7"/>
      <c r="K21" s="7"/>
      <c r="L21" s="7"/>
    </row>
    <row r="22" spans="1:12" x14ac:dyDescent="0.2">
      <c r="A22" s="1" t="s">
        <v>2</v>
      </c>
      <c r="C22" s="7">
        <f t="shared" ref="C22:J22" si="2">SUM(C16:C21)</f>
        <v>387</v>
      </c>
      <c r="D22" s="7">
        <f t="shared" si="2"/>
        <v>387</v>
      </c>
      <c r="E22" s="7">
        <f t="shared" si="2"/>
        <v>387</v>
      </c>
      <c r="F22" s="7">
        <f t="shared" si="2"/>
        <v>387</v>
      </c>
      <c r="G22" s="7">
        <f t="shared" si="2"/>
        <v>387</v>
      </c>
      <c r="H22" s="7">
        <f t="shared" si="2"/>
        <v>387</v>
      </c>
      <c r="I22" s="7">
        <f t="shared" si="2"/>
        <v>387</v>
      </c>
      <c r="J22" s="7">
        <f t="shared" si="2"/>
        <v>387</v>
      </c>
      <c r="K22" s="7"/>
      <c r="L22" s="7"/>
    </row>
    <row r="23" spans="1:12" x14ac:dyDescent="0.2">
      <c r="A23" s="1" t="s">
        <v>32</v>
      </c>
      <c r="C23" s="7">
        <f>C22*6%</f>
        <v>23.22</v>
      </c>
      <c r="D23" s="7">
        <f t="shared" ref="D23:J23" si="3">D22*6%</f>
        <v>23.22</v>
      </c>
      <c r="E23" s="7">
        <f t="shared" si="3"/>
        <v>23.22</v>
      </c>
      <c r="F23" s="7">
        <f t="shared" si="3"/>
        <v>23.22</v>
      </c>
      <c r="G23" s="7">
        <f t="shared" si="3"/>
        <v>23.22</v>
      </c>
      <c r="H23" s="7">
        <f t="shared" si="3"/>
        <v>23.22</v>
      </c>
      <c r="I23" s="7">
        <f t="shared" si="3"/>
        <v>23.22</v>
      </c>
      <c r="J23" s="7">
        <f t="shared" si="3"/>
        <v>23.22</v>
      </c>
      <c r="K23" s="7"/>
      <c r="L23" s="7"/>
    </row>
    <row r="24" spans="1:12" x14ac:dyDescent="0.2">
      <c r="C24" s="7"/>
      <c r="D24" s="7"/>
      <c r="E24" s="7"/>
      <c r="F24" s="7"/>
      <c r="G24" s="7"/>
      <c r="H24" s="7"/>
      <c r="I24" s="7"/>
      <c r="J24" s="7"/>
      <c r="K24" s="7"/>
      <c r="L24" s="7"/>
    </row>
    <row r="25" spans="1:12" s="8" customFormat="1" x14ac:dyDescent="0.2">
      <c r="A25" s="8" t="s">
        <v>3</v>
      </c>
      <c r="C25" s="7">
        <f t="shared" ref="C25:J25" si="4">SUM(C22:C24)</f>
        <v>410.22</v>
      </c>
      <c r="D25" s="7">
        <f t="shared" si="4"/>
        <v>410.22</v>
      </c>
      <c r="E25" s="7">
        <f t="shared" si="4"/>
        <v>410.22</v>
      </c>
      <c r="F25" s="7">
        <f t="shared" si="4"/>
        <v>410.22</v>
      </c>
      <c r="G25" s="7">
        <f t="shared" si="4"/>
        <v>410.22</v>
      </c>
      <c r="H25" s="7">
        <f t="shared" si="4"/>
        <v>410.22</v>
      </c>
      <c r="I25" s="7">
        <f t="shared" si="4"/>
        <v>410.22</v>
      </c>
      <c r="J25" s="7">
        <f t="shared" si="4"/>
        <v>410.22</v>
      </c>
      <c r="K25" s="7"/>
      <c r="L25" s="7"/>
    </row>
    <row r="26" spans="1:12" x14ac:dyDescent="0.2">
      <c r="C26" s="7"/>
      <c r="D26" s="7"/>
      <c r="E26" s="7"/>
      <c r="F26" s="7"/>
      <c r="G26" s="7"/>
      <c r="H26" s="7"/>
      <c r="I26" s="7"/>
      <c r="J26" s="7"/>
      <c r="K26" s="7"/>
      <c r="L26" s="7"/>
    </row>
    <row r="27" spans="1:12" x14ac:dyDescent="0.2">
      <c r="A27" s="1" t="s">
        <v>4</v>
      </c>
      <c r="C27" s="2">
        <f>C25*C14/1000</f>
        <v>54.657084014784004</v>
      </c>
      <c r="D27" s="2">
        <f t="shared" ref="D27:J27" si="5">D25*D14/1000</f>
        <v>62.485653905999996</v>
      </c>
      <c r="E27" s="2">
        <f t="shared" si="5"/>
        <v>70.774727908464016</v>
      </c>
      <c r="F27" s="2">
        <f t="shared" si="5"/>
        <v>79.524306022176006</v>
      </c>
      <c r="G27" s="2">
        <f t="shared" si="5"/>
        <v>91.550346062544008</v>
      </c>
      <c r="H27" s="2">
        <f t="shared" si="5"/>
        <v>101.37443376916801</v>
      </c>
      <c r="I27" s="2">
        <f t="shared" si="5"/>
        <v>111.65902558704002</v>
      </c>
      <c r="J27" s="2">
        <f t="shared" si="5"/>
        <v>122.40412151616002</v>
      </c>
      <c r="K27" s="2"/>
      <c r="L27" s="2"/>
    </row>
    <row r="28" spans="1:12" x14ac:dyDescent="0.2">
      <c r="A28" s="1" t="s">
        <v>5</v>
      </c>
      <c r="C28" s="2">
        <v>12</v>
      </c>
      <c r="D28" s="2">
        <v>12</v>
      </c>
      <c r="E28" s="2">
        <v>12</v>
      </c>
      <c r="F28" s="2">
        <v>12</v>
      </c>
      <c r="G28" s="2">
        <v>12</v>
      </c>
      <c r="H28" s="2">
        <v>12</v>
      </c>
      <c r="I28" s="2">
        <v>12</v>
      </c>
      <c r="J28" s="2">
        <v>12</v>
      </c>
      <c r="K28" s="2"/>
      <c r="L28" s="2"/>
    </row>
    <row r="29" spans="1:12" x14ac:dyDescent="0.2">
      <c r="A29" s="1" t="s">
        <v>22</v>
      </c>
      <c r="C29" s="2">
        <v>0.45</v>
      </c>
      <c r="D29" s="2">
        <v>0.45</v>
      </c>
      <c r="E29" s="2">
        <v>0.45</v>
      </c>
      <c r="F29" s="2">
        <v>0.45</v>
      </c>
      <c r="G29" s="2">
        <v>0.45</v>
      </c>
      <c r="H29" s="2">
        <v>0.45</v>
      </c>
      <c r="I29" s="2">
        <v>0.45</v>
      </c>
      <c r="J29" s="2">
        <v>0.45</v>
      </c>
      <c r="K29" s="2"/>
      <c r="L29" s="2"/>
    </row>
    <row r="30" spans="1:12" x14ac:dyDescent="0.2">
      <c r="A30" s="1" t="s">
        <v>17</v>
      </c>
      <c r="C30" s="2">
        <v>0.4</v>
      </c>
      <c r="D30" s="2">
        <v>0.4</v>
      </c>
      <c r="E30" s="2">
        <v>0.4</v>
      </c>
      <c r="F30" s="2">
        <v>0.4</v>
      </c>
      <c r="G30" s="2">
        <v>0.4</v>
      </c>
      <c r="H30" s="2">
        <v>0.4</v>
      </c>
      <c r="I30" s="2">
        <v>0.4</v>
      </c>
      <c r="J30" s="2">
        <v>0.4</v>
      </c>
      <c r="K30" s="2"/>
      <c r="L30" s="2"/>
    </row>
    <row r="31" spans="1:12" x14ac:dyDescent="0.2">
      <c r="A31" s="1" t="s">
        <v>18</v>
      </c>
      <c r="C31" s="2">
        <v>1</v>
      </c>
      <c r="D31" s="2">
        <v>1</v>
      </c>
      <c r="E31" s="2">
        <v>1</v>
      </c>
      <c r="F31" s="2">
        <v>1</v>
      </c>
      <c r="G31" s="2">
        <v>1</v>
      </c>
      <c r="H31" s="2">
        <v>1</v>
      </c>
      <c r="I31" s="2">
        <v>1</v>
      </c>
      <c r="J31" s="2">
        <v>1</v>
      </c>
      <c r="K31" s="2"/>
      <c r="L31" s="2"/>
    </row>
    <row r="32" spans="1:12" x14ac:dyDescent="0.2">
      <c r="A32" s="1" t="s">
        <v>9</v>
      </c>
      <c r="C32" s="2">
        <v>1</v>
      </c>
      <c r="D32" s="2">
        <v>1</v>
      </c>
      <c r="E32" s="2">
        <v>1</v>
      </c>
      <c r="F32" s="2">
        <v>1</v>
      </c>
      <c r="G32" s="2">
        <v>1</v>
      </c>
      <c r="H32" s="2">
        <v>1</v>
      </c>
      <c r="I32" s="2">
        <v>1</v>
      </c>
      <c r="J32" s="2">
        <v>1</v>
      </c>
      <c r="K32" s="2"/>
      <c r="L32" s="2"/>
    </row>
    <row r="33" spans="1:12" x14ac:dyDescent="0.2">
      <c r="A33" s="1" t="s">
        <v>20</v>
      </c>
      <c r="C33" s="2">
        <v>1.5</v>
      </c>
      <c r="D33" s="2">
        <v>1.5</v>
      </c>
      <c r="E33" s="2">
        <v>1.5</v>
      </c>
      <c r="F33" s="2">
        <v>1.5</v>
      </c>
      <c r="G33" s="2">
        <v>1.5</v>
      </c>
      <c r="H33" s="2">
        <v>1.5</v>
      </c>
      <c r="I33" s="2">
        <v>1.5</v>
      </c>
      <c r="J33" s="2">
        <v>1.5</v>
      </c>
      <c r="K33" s="2"/>
      <c r="L33" s="2"/>
    </row>
    <row r="34" spans="1:12" x14ac:dyDescent="0.2">
      <c r="C34" s="2"/>
      <c r="D34" s="2"/>
      <c r="E34" s="2"/>
      <c r="F34" s="2"/>
      <c r="G34" s="2"/>
      <c r="H34" s="2"/>
      <c r="I34" s="2"/>
      <c r="J34" s="2"/>
      <c r="K34" s="2"/>
      <c r="L34" s="2"/>
    </row>
    <row r="35" spans="1:12" x14ac:dyDescent="0.2">
      <c r="A35" s="1" t="s">
        <v>2</v>
      </c>
      <c r="C35" s="2">
        <f>SUM(C27:C34)</f>
        <v>71.007084014784013</v>
      </c>
      <c r="D35" s="2">
        <f t="shared" ref="D35:J35" si="6">SUM(D27:D34)</f>
        <v>78.835653906000005</v>
      </c>
      <c r="E35" s="2">
        <f t="shared" si="6"/>
        <v>87.124727908464024</v>
      </c>
      <c r="F35" s="2">
        <f t="shared" si="6"/>
        <v>95.874306022176015</v>
      </c>
      <c r="G35" s="2">
        <f t="shared" si="6"/>
        <v>107.90034606254402</v>
      </c>
      <c r="H35" s="2">
        <f t="shared" si="6"/>
        <v>117.72443376916802</v>
      </c>
      <c r="I35" s="2">
        <f t="shared" si="6"/>
        <v>128.00902558704001</v>
      </c>
      <c r="J35" s="2">
        <f t="shared" si="6"/>
        <v>138.75412151616001</v>
      </c>
      <c r="K35" s="2"/>
      <c r="L35" s="2"/>
    </row>
    <row r="36" spans="1:12" x14ac:dyDescent="0.2">
      <c r="A36" s="1" t="s">
        <v>19</v>
      </c>
      <c r="C36" s="2">
        <f t="shared" ref="C36:J36" si="7">C35*1%</f>
        <v>0.71007084014784017</v>
      </c>
      <c r="D36" s="2">
        <f t="shared" si="7"/>
        <v>0.78835653906000003</v>
      </c>
      <c r="E36" s="2">
        <f t="shared" si="7"/>
        <v>0.87124727908464028</v>
      </c>
      <c r="F36" s="2">
        <f t="shared" si="7"/>
        <v>0.95874306022176015</v>
      </c>
      <c r="G36" s="2">
        <f t="shared" si="7"/>
        <v>1.0790034606254402</v>
      </c>
      <c r="H36" s="2">
        <f t="shared" si="7"/>
        <v>1.1772443376916801</v>
      </c>
      <c r="I36" s="2">
        <f t="shared" si="7"/>
        <v>1.2800902558704002</v>
      </c>
      <c r="J36" s="2">
        <f t="shared" si="7"/>
        <v>1.3875412151616002</v>
      </c>
      <c r="K36" s="2"/>
      <c r="L36" s="2"/>
    </row>
    <row r="37" spans="1:12" x14ac:dyDescent="0.2">
      <c r="C37" s="2"/>
      <c r="D37" s="2"/>
      <c r="E37" s="2"/>
      <c r="F37" s="2"/>
      <c r="G37" s="2"/>
      <c r="H37" s="2"/>
      <c r="I37" s="2"/>
      <c r="J37" s="2"/>
      <c r="K37" s="2"/>
      <c r="L37" s="2"/>
    </row>
    <row r="38" spans="1:12" x14ac:dyDescent="0.2">
      <c r="A38" s="1" t="s">
        <v>2</v>
      </c>
      <c r="C38" s="2">
        <f t="shared" ref="C38:J38" si="8">SUM(C35:C37)</f>
        <v>71.717154854931849</v>
      </c>
      <c r="D38" s="2">
        <f t="shared" si="8"/>
        <v>79.624010445060009</v>
      </c>
      <c r="E38" s="2">
        <f t="shared" si="8"/>
        <v>87.995975187548666</v>
      </c>
      <c r="F38" s="2">
        <f t="shared" si="8"/>
        <v>96.833049082397778</v>
      </c>
      <c r="G38" s="2">
        <f t="shared" si="8"/>
        <v>108.97934952316946</v>
      </c>
      <c r="H38" s="2">
        <f t="shared" si="8"/>
        <v>118.90167810685969</v>
      </c>
      <c r="I38" s="2">
        <f t="shared" si="8"/>
        <v>129.28911584291041</v>
      </c>
      <c r="J38" s="2">
        <f t="shared" si="8"/>
        <v>140.14166273132162</v>
      </c>
      <c r="K38" s="2"/>
      <c r="L38" s="2"/>
    </row>
    <row r="39" spans="1:12" x14ac:dyDescent="0.2">
      <c r="A39" s="1" t="s">
        <v>42</v>
      </c>
      <c r="C39" s="2">
        <f>C38*20%</f>
        <v>14.34343097098637</v>
      </c>
      <c r="D39" s="2">
        <f t="shared" ref="D39:J39" si="9">D38*20%</f>
        <v>15.924802089012003</v>
      </c>
      <c r="E39" s="2">
        <f t="shared" si="9"/>
        <v>17.599195037509734</v>
      </c>
      <c r="F39" s="2">
        <f t="shared" si="9"/>
        <v>19.366609816479556</v>
      </c>
      <c r="G39" s="2">
        <f t="shared" si="9"/>
        <v>21.795869904633893</v>
      </c>
      <c r="H39" s="2">
        <f t="shared" si="9"/>
        <v>23.78033562137194</v>
      </c>
      <c r="I39" s="2">
        <f t="shared" si="9"/>
        <v>25.857823168582083</v>
      </c>
      <c r="J39" s="2">
        <f t="shared" si="9"/>
        <v>28.028332546264323</v>
      </c>
      <c r="K39" s="2"/>
      <c r="L39" s="2"/>
    </row>
    <row r="40" spans="1:12" x14ac:dyDescent="0.2">
      <c r="C40" s="2"/>
      <c r="D40" s="2"/>
      <c r="E40" s="2"/>
      <c r="F40" s="2"/>
      <c r="G40" s="2"/>
      <c r="H40" s="2"/>
      <c r="I40" s="2"/>
      <c r="J40" s="2"/>
      <c r="K40" s="2"/>
      <c r="L40" s="2"/>
    </row>
    <row r="41" spans="1:12" x14ac:dyDescent="0.2">
      <c r="A41" s="1" t="s">
        <v>6</v>
      </c>
      <c r="C41" s="2">
        <f t="shared" ref="C41:J41" si="10">SUM(C38:C40)</f>
        <v>86.060585825918224</v>
      </c>
      <c r="D41" s="2">
        <f t="shared" si="10"/>
        <v>95.548812534072013</v>
      </c>
      <c r="E41" s="2">
        <f t="shared" si="10"/>
        <v>105.5951702250584</v>
      </c>
      <c r="F41" s="2">
        <f t="shared" si="10"/>
        <v>116.19965889887733</v>
      </c>
      <c r="G41" s="2">
        <f t="shared" si="10"/>
        <v>130.77521942780336</v>
      </c>
      <c r="H41" s="2">
        <f t="shared" si="10"/>
        <v>142.68201372823162</v>
      </c>
      <c r="I41" s="2">
        <f t="shared" si="10"/>
        <v>155.14693901149249</v>
      </c>
      <c r="J41" s="2">
        <f t="shared" si="10"/>
        <v>168.16999527758594</v>
      </c>
      <c r="K41" s="2"/>
      <c r="L41" s="2"/>
    </row>
    <row r="42" spans="1:12" x14ac:dyDescent="0.2">
      <c r="C42" s="2"/>
      <c r="D42" s="2"/>
      <c r="E42" s="2"/>
      <c r="F42" s="2"/>
      <c r="G42" s="2"/>
      <c r="H42" s="2"/>
      <c r="I42" s="2"/>
      <c r="J42" s="2"/>
      <c r="K42" s="2"/>
      <c r="L42" s="2"/>
    </row>
    <row r="43" spans="1:12" x14ac:dyDescent="0.2">
      <c r="A43" s="1" t="s">
        <v>29</v>
      </c>
      <c r="C43" s="2">
        <f>C41/85</f>
        <v>1.0124774803049204</v>
      </c>
      <c r="D43" s="2">
        <f t="shared" ref="D43:J43" si="11">D41/85</f>
        <v>1.1241036768714354</v>
      </c>
      <c r="E43" s="2">
        <f t="shared" si="11"/>
        <v>1.2422961202948046</v>
      </c>
      <c r="F43" s="2">
        <f t="shared" si="11"/>
        <v>1.3670548105750275</v>
      </c>
      <c r="G43" s="2">
        <f t="shared" si="11"/>
        <v>1.5385319932682748</v>
      </c>
      <c r="H43" s="2">
        <f t="shared" si="11"/>
        <v>1.6786119262144896</v>
      </c>
      <c r="I43" s="2">
        <f t="shared" si="11"/>
        <v>1.8252581060175588</v>
      </c>
      <c r="J43" s="2">
        <f t="shared" si="11"/>
        <v>1.9784705326774816</v>
      </c>
      <c r="K43" s="2"/>
      <c r="L43" s="2"/>
    </row>
    <row r="44" spans="1:12" x14ac:dyDescent="0.2">
      <c r="C44" s="2"/>
      <c r="D44" s="2"/>
      <c r="E44" s="2"/>
      <c r="F44" s="2"/>
      <c r="G44" s="2"/>
      <c r="H44" s="2"/>
      <c r="I44" s="2"/>
      <c r="J44" s="2"/>
      <c r="K44" s="2"/>
      <c r="L44" s="2"/>
    </row>
    <row r="45" spans="1:12" x14ac:dyDescent="0.2">
      <c r="A45" s="1" t="s">
        <v>39</v>
      </c>
      <c r="C45" s="2">
        <v>7.0000000000000007E-2</v>
      </c>
      <c r="D45" s="2">
        <v>7.0000000000000007E-2</v>
      </c>
      <c r="E45" s="2">
        <v>7.0000000000000007E-2</v>
      </c>
      <c r="F45" s="2">
        <v>7.0000000000000007E-2</v>
      </c>
      <c r="G45" s="2">
        <v>7.0000000000000007E-2</v>
      </c>
      <c r="H45" s="2">
        <v>7.0000000000000007E-2</v>
      </c>
      <c r="I45" s="2">
        <v>7.0000000000000007E-2</v>
      </c>
      <c r="J45" s="2">
        <v>7.0000000000000007E-2</v>
      </c>
      <c r="K45" s="2"/>
      <c r="L45" s="2"/>
    </row>
    <row r="46" spans="1:12" x14ac:dyDescent="0.2">
      <c r="A46" s="1" t="s">
        <v>40</v>
      </c>
      <c r="C46" s="2">
        <f>0.3*34.5%</f>
        <v>0.10349999999999999</v>
      </c>
      <c r="D46" s="2">
        <f t="shared" ref="D46:J46" si="12">0.3*34.5%</f>
        <v>0.10349999999999999</v>
      </c>
      <c r="E46" s="2">
        <f t="shared" si="12"/>
        <v>0.10349999999999999</v>
      </c>
      <c r="F46" s="2">
        <f t="shared" si="12"/>
        <v>0.10349999999999999</v>
      </c>
      <c r="G46" s="2">
        <f t="shared" si="12"/>
        <v>0.10349999999999999</v>
      </c>
      <c r="H46" s="2">
        <f t="shared" si="12"/>
        <v>0.10349999999999999</v>
      </c>
      <c r="I46" s="2">
        <f t="shared" si="12"/>
        <v>0.10349999999999999</v>
      </c>
      <c r="J46" s="2">
        <f t="shared" si="12"/>
        <v>0.10349999999999999</v>
      </c>
      <c r="K46" s="2"/>
      <c r="L46" s="2"/>
    </row>
    <row r="47" spans="1:12" x14ac:dyDescent="0.2">
      <c r="C47" s="2"/>
      <c r="D47" s="2"/>
    </row>
    <row r="48" spans="1:12" s="6" customFormat="1" x14ac:dyDescent="0.2">
      <c r="A48" s="6" t="s">
        <v>41</v>
      </c>
      <c r="C48" s="5">
        <f>SUM(C43:C47)</f>
        <v>1.1859774803049203</v>
      </c>
      <c r="D48" s="5">
        <f t="shared" ref="D48:J48" si="13">SUM(D43:D47)</f>
        <v>1.2976036768714354</v>
      </c>
      <c r="E48" s="5">
        <f t="shared" si="13"/>
        <v>1.4157961202948046</v>
      </c>
      <c r="F48" s="5">
        <f t="shared" si="13"/>
        <v>1.5405548105750275</v>
      </c>
      <c r="G48" s="5">
        <f t="shared" si="13"/>
        <v>1.7120319932682748</v>
      </c>
      <c r="H48" s="5">
        <f t="shared" si="13"/>
        <v>1.8521119262144896</v>
      </c>
      <c r="I48" s="5">
        <f t="shared" si="13"/>
        <v>1.9987581060175588</v>
      </c>
      <c r="J48" s="5">
        <f t="shared" si="13"/>
        <v>2.1519705326774816</v>
      </c>
    </row>
    <row r="49" spans="3:4" x14ac:dyDescent="0.2">
      <c r="C49" s="2"/>
      <c r="D49" s="2"/>
    </row>
    <row r="50" spans="3:4" x14ac:dyDescent="0.2">
      <c r="C50" s="2"/>
      <c r="D50" s="2"/>
    </row>
    <row r="51" spans="3:4" x14ac:dyDescent="0.2">
      <c r="C51" s="2"/>
      <c r="D51" s="2"/>
    </row>
    <row r="52" spans="3:4" x14ac:dyDescent="0.2">
      <c r="C52" s="2"/>
      <c r="D52" s="2"/>
    </row>
    <row r="53" spans="3:4" x14ac:dyDescent="0.2">
      <c r="C53" s="2"/>
      <c r="D53" s="2"/>
    </row>
    <row r="54" spans="3:4" x14ac:dyDescent="0.2">
      <c r="C54" s="2"/>
      <c r="D54" s="2"/>
    </row>
    <row r="55" spans="3:4" x14ac:dyDescent="0.2">
      <c r="C55" s="2"/>
      <c r="D55" s="2"/>
    </row>
    <row r="56" spans="3:4" x14ac:dyDescent="0.2">
      <c r="C56" s="2"/>
      <c r="D56" s="2"/>
    </row>
    <row r="57" spans="3:4" x14ac:dyDescent="0.2">
      <c r="C57" s="2"/>
      <c r="D57" s="2"/>
    </row>
    <row r="58" spans="3:4" x14ac:dyDescent="0.2">
      <c r="C58" s="2"/>
      <c r="D58" s="2"/>
    </row>
    <row r="59" spans="3:4" x14ac:dyDescent="0.2">
      <c r="C59" s="2"/>
      <c r="D59" s="2"/>
    </row>
    <row r="60" spans="3:4" x14ac:dyDescent="0.2">
      <c r="C60" s="2"/>
      <c r="D60" s="2"/>
    </row>
    <row r="61" spans="3:4" x14ac:dyDescent="0.2">
      <c r="C61" s="2"/>
      <c r="D61" s="2"/>
    </row>
    <row r="62" spans="3:4" x14ac:dyDescent="0.2">
      <c r="C62" s="2"/>
      <c r="D62" s="2"/>
    </row>
    <row r="63" spans="3:4" x14ac:dyDescent="0.2">
      <c r="C63" s="2"/>
      <c r="D63" s="2"/>
    </row>
    <row r="64" spans="3:4" x14ac:dyDescent="0.2">
      <c r="C64" s="2"/>
      <c r="D64" s="2"/>
    </row>
    <row r="65" spans="3:4" x14ac:dyDescent="0.2">
      <c r="C65" s="2"/>
      <c r="D65" s="2"/>
    </row>
    <row r="66" spans="3:4" x14ac:dyDescent="0.2">
      <c r="C66" s="2"/>
      <c r="D66" s="2"/>
    </row>
    <row r="67" spans="3:4" x14ac:dyDescent="0.2">
      <c r="C67" s="10"/>
      <c r="D67" s="10"/>
    </row>
    <row r="68" spans="3:4" x14ac:dyDescent="0.2">
      <c r="C68" s="2"/>
      <c r="D68" s="2"/>
    </row>
    <row r="69" spans="3:4" x14ac:dyDescent="0.2">
      <c r="C69" s="10"/>
      <c r="D69" s="10"/>
    </row>
    <row r="70" spans="3:4" x14ac:dyDescent="0.2">
      <c r="C70" s="2"/>
      <c r="D70" s="2"/>
    </row>
    <row r="71" spans="3:4" x14ac:dyDescent="0.2">
      <c r="C71" s="10"/>
      <c r="D71" s="10"/>
    </row>
    <row r="72" spans="3:4" x14ac:dyDescent="0.2">
      <c r="C72" s="2"/>
      <c r="D72" s="2"/>
    </row>
    <row r="73" spans="3:4" x14ac:dyDescent="0.2">
      <c r="C73" s="2"/>
      <c r="D73" s="2"/>
    </row>
  </sheetData>
  <pageMargins left="0.39370078740157483" right="0.39370078740157483" top="0.39370078740157483" bottom="0.39370078740157483" header="0.39370078740157483" footer="0.39370078740157483"/>
  <pageSetup paperSize="9" scale="91" orientation="portrait"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4BB418-0AAE-44BF-A496-F09C85CB0D72}">
  <sheetPr>
    <pageSetUpPr fitToPage="1"/>
  </sheetPr>
  <dimension ref="A1:L73"/>
  <sheetViews>
    <sheetView zoomScaleNormal="100" workbookViewId="0">
      <selection activeCell="C10" sqref="C10"/>
    </sheetView>
  </sheetViews>
  <sheetFormatPr defaultColWidth="9.14453125" defaultRowHeight="15" x14ac:dyDescent="0.2"/>
  <cols>
    <col min="1" max="1" width="18.16015625" style="1" bestFit="1" customWidth="1"/>
    <col min="2" max="2" width="5.6484375" style="1" customWidth="1"/>
    <col min="3" max="10" width="18.16015625" style="1" bestFit="1" customWidth="1"/>
    <col min="11" max="12" width="13.85546875" style="1" bestFit="1" customWidth="1"/>
    <col min="13" max="16384" width="9.14453125" style="1"/>
  </cols>
  <sheetData>
    <row r="1" spans="1:12" ht="30" customHeight="1" x14ac:dyDescent="0.2">
      <c r="A1" s="1" t="s">
        <v>28</v>
      </c>
      <c r="C1" s="9" t="s">
        <v>30</v>
      </c>
      <c r="D1" s="9" t="s">
        <v>30</v>
      </c>
      <c r="E1" s="9" t="s">
        <v>30</v>
      </c>
      <c r="F1" s="9" t="s">
        <v>30</v>
      </c>
      <c r="G1" s="9" t="s">
        <v>30</v>
      </c>
      <c r="H1" s="9" t="s">
        <v>30</v>
      </c>
      <c r="I1" s="9" t="s">
        <v>30</v>
      </c>
      <c r="J1" s="9" t="s">
        <v>30</v>
      </c>
      <c r="K1" s="9"/>
      <c r="L1" s="9"/>
    </row>
    <row r="2" spans="1:12" x14ac:dyDescent="0.2">
      <c r="A2" s="1" t="s">
        <v>0</v>
      </c>
      <c r="C2" s="1" t="s">
        <v>43</v>
      </c>
      <c r="D2" s="1" t="s">
        <v>43</v>
      </c>
      <c r="E2" s="1" t="s">
        <v>43</v>
      </c>
      <c r="F2" s="1" t="s">
        <v>43</v>
      </c>
      <c r="G2" s="1" t="s">
        <v>43</v>
      </c>
      <c r="H2" s="1" t="s">
        <v>43</v>
      </c>
      <c r="I2" s="1" t="s">
        <v>43</v>
      </c>
      <c r="J2" s="1" t="s">
        <v>43</v>
      </c>
    </row>
    <row r="3" spans="1:12" x14ac:dyDescent="0.2">
      <c r="A3" s="1" t="s">
        <v>1</v>
      </c>
      <c r="C3" s="1">
        <v>145</v>
      </c>
      <c r="D3" s="1">
        <v>145</v>
      </c>
      <c r="E3" s="1">
        <v>145</v>
      </c>
      <c r="F3" s="1">
        <v>145</v>
      </c>
      <c r="G3" s="1">
        <v>145</v>
      </c>
      <c r="H3" s="1">
        <v>145</v>
      </c>
      <c r="I3" s="1">
        <v>145</v>
      </c>
      <c r="J3" s="1">
        <v>145</v>
      </c>
    </row>
    <row r="4" spans="1:12" x14ac:dyDescent="0.2">
      <c r="C4" s="1" t="s">
        <v>23</v>
      </c>
      <c r="D4" s="1" t="s">
        <v>24</v>
      </c>
      <c r="E4" s="1" t="s">
        <v>25</v>
      </c>
      <c r="F4" s="1" t="s">
        <v>26</v>
      </c>
      <c r="G4" s="1" t="s">
        <v>27</v>
      </c>
      <c r="H4" s="1" t="s">
        <v>33</v>
      </c>
      <c r="I4" s="1" t="s">
        <v>34</v>
      </c>
      <c r="J4" s="1" t="s">
        <v>35</v>
      </c>
    </row>
    <row r="6" spans="1:12" x14ac:dyDescent="0.2">
      <c r="A6" s="1" t="s">
        <v>10</v>
      </c>
      <c r="C6" s="1">
        <v>18</v>
      </c>
      <c r="D6" s="1">
        <v>20</v>
      </c>
      <c r="E6" s="1">
        <v>22</v>
      </c>
      <c r="F6" s="1">
        <v>24</v>
      </c>
      <c r="G6" s="1">
        <v>26</v>
      </c>
      <c r="H6" s="1">
        <v>28</v>
      </c>
      <c r="I6" s="1">
        <v>30</v>
      </c>
      <c r="J6" s="1">
        <v>32</v>
      </c>
    </row>
    <row r="7" spans="1:12" x14ac:dyDescent="0.2">
      <c r="A7" s="1" t="s">
        <v>12</v>
      </c>
      <c r="C7" s="1">
        <v>27</v>
      </c>
      <c r="D7" s="1">
        <v>28</v>
      </c>
      <c r="E7" s="1">
        <v>29</v>
      </c>
      <c r="F7" s="1">
        <v>30</v>
      </c>
      <c r="G7" s="1">
        <v>32</v>
      </c>
      <c r="H7" s="1">
        <v>33</v>
      </c>
      <c r="I7" s="1">
        <v>34</v>
      </c>
      <c r="J7" s="1">
        <v>35</v>
      </c>
    </row>
    <row r="8" spans="1:12" x14ac:dyDescent="0.2">
      <c r="A8" s="1" t="s">
        <v>11</v>
      </c>
      <c r="C8" s="1">
        <v>8</v>
      </c>
      <c r="D8" s="1">
        <v>8.5</v>
      </c>
      <c r="E8" s="1">
        <v>9</v>
      </c>
      <c r="F8" s="1">
        <v>9.5</v>
      </c>
      <c r="G8" s="1">
        <v>10</v>
      </c>
      <c r="H8" s="1">
        <v>10.5</v>
      </c>
      <c r="I8" s="1">
        <v>11</v>
      </c>
      <c r="J8" s="1">
        <v>11.5</v>
      </c>
    </row>
    <row r="10" spans="1:12" x14ac:dyDescent="0.2">
      <c r="A10" s="1" t="s">
        <v>14</v>
      </c>
      <c r="C10" s="7">
        <f>(C6+1)*(C7+C8+3)*2*2.54*2.54/10000*C3</f>
        <v>135.08360080000003</v>
      </c>
      <c r="D10" s="7">
        <f t="shared" ref="D10:J10" si="0">(D6+1)*(D7+D8+3)*2*2.54*2.54/10000*D3</f>
        <v>155.1964638</v>
      </c>
      <c r="E10" s="7">
        <f t="shared" si="0"/>
        <v>176.43190520000002</v>
      </c>
      <c r="F10" s="7">
        <f t="shared" si="0"/>
        <v>198.78992500000001</v>
      </c>
      <c r="G10" s="7">
        <f t="shared" si="0"/>
        <v>227.32212599999997</v>
      </c>
      <c r="H10" s="7">
        <f t="shared" si="0"/>
        <v>252.29949539999998</v>
      </c>
      <c r="I10" s="7">
        <f t="shared" si="0"/>
        <v>278.39944320000001</v>
      </c>
      <c r="J10" s="7">
        <f t="shared" si="0"/>
        <v>305.62196940000001</v>
      </c>
      <c r="K10" s="7"/>
      <c r="L10" s="7"/>
    </row>
    <row r="11" spans="1:12" x14ac:dyDescent="0.2">
      <c r="A11" s="1" t="s">
        <v>21</v>
      </c>
      <c r="C11" s="7">
        <v>6</v>
      </c>
      <c r="D11" s="7">
        <v>6</v>
      </c>
      <c r="E11" s="7">
        <v>6</v>
      </c>
      <c r="F11" s="7">
        <v>6</v>
      </c>
      <c r="G11" s="7">
        <v>6</v>
      </c>
      <c r="H11" s="7">
        <v>6</v>
      </c>
      <c r="I11" s="7">
        <v>6</v>
      </c>
      <c r="J11" s="7">
        <v>6</v>
      </c>
      <c r="K11" s="7"/>
      <c r="L11" s="7"/>
    </row>
    <row r="12" spans="1:12" x14ac:dyDescent="0.2">
      <c r="A12" s="1" t="s">
        <v>13</v>
      </c>
      <c r="C12" s="7">
        <v>6</v>
      </c>
      <c r="D12" s="7">
        <v>6</v>
      </c>
      <c r="E12" s="7">
        <v>6</v>
      </c>
      <c r="F12" s="7">
        <v>6</v>
      </c>
      <c r="G12" s="7">
        <v>8</v>
      </c>
      <c r="H12" s="7">
        <v>8</v>
      </c>
      <c r="I12" s="7">
        <v>8</v>
      </c>
      <c r="J12" s="7">
        <v>8</v>
      </c>
      <c r="K12" s="7"/>
      <c r="L12" s="7"/>
    </row>
    <row r="14" spans="1:12" x14ac:dyDescent="0.2">
      <c r="A14" s="1" t="s">
        <v>15</v>
      </c>
      <c r="C14" s="7">
        <f t="shared" ref="C14:J14" si="1">SUM(C10:C13)</f>
        <v>147.08360080000003</v>
      </c>
      <c r="D14" s="7">
        <f t="shared" si="1"/>
        <v>167.1964638</v>
      </c>
      <c r="E14" s="7">
        <f t="shared" si="1"/>
        <v>188.43190520000002</v>
      </c>
      <c r="F14" s="7">
        <f t="shared" si="1"/>
        <v>210.78992500000001</v>
      </c>
      <c r="G14" s="7">
        <f t="shared" si="1"/>
        <v>241.32212599999997</v>
      </c>
      <c r="H14" s="7">
        <f t="shared" si="1"/>
        <v>266.29949539999996</v>
      </c>
      <c r="I14" s="7">
        <f t="shared" si="1"/>
        <v>292.39944320000001</v>
      </c>
      <c r="J14" s="7">
        <f t="shared" si="1"/>
        <v>319.62196940000001</v>
      </c>
      <c r="K14" s="7"/>
      <c r="L14" s="7"/>
    </row>
    <row r="16" spans="1:12" x14ac:dyDescent="0.2">
      <c r="A16" s="1" t="s">
        <v>16</v>
      </c>
      <c r="C16" s="7">
        <v>272</v>
      </c>
      <c r="D16" s="7">
        <v>272</v>
      </c>
      <c r="E16" s="7">
        <v>272</v>
      </c>
      <c r="F16" s="7">
        <v>272</v>
      </c>
      <c r="G16" s="7">
        <v>272</v>
      </c>
      <c r="H16" s="7">
        <v>272</v>
      </c>
      <c r="I16" s="7">
        <v>272</v>
      </c>
      <c r="J16" s="7">
        <v>272</v>
      </c>
      <c r="K16" s="7"/>
      <c r="L16" s="7"/>
    </row>
    <row r="17" spans="1:12" x14ac:dyDescent="0.2">
      <c r="A17" s="1" t="s">
        <v>7</v>
      </c>
      <c r="C17" s="7">
        <v>10</v>
      </c>
      <c r="D17" s="7">
        <v>10</v>
      </c>
      <c r="E17" s="7">
        <v>10</v>
      </c>
      <c r="F17" s="7">
        <v>10</v>
      </c>
      <c r="G17" s="7">
        <v>10</v>
      </c>
      <c r="H17" s="7">
        <v>10</v>
      </c>
      <c r="I17" s="7">
        <v>10</v>
      </c>
      <c r="J17" s="7">
        <v>10</v>
      </c>
      <c r="K17" s="7"/>
      <c r="L17" s="7"/>
    </row>
    <row r="18" spans="1:12" x14ac:dyDescent="0.2">
      <c r="A18" s="1" t="s">
        <v>37</v>
      </c>
      <c r="C18" s="7">
        <v>40</v>
      </c>
      <c r="D18" s="7">
        <v>40</v>
      </c>
      <c r="E18" s="7">
        <v>40</v>
      </c>
      <c r="F18" s="7">
        <v>40</v>
      </c>
      <c r="G18" s="7">
        <v>40</v>
      </c>
      <c r="H18" s="7">
        <v>40</v>
      </c>
      <c r="I18" s="7">
        <v>40</v>
      </c>
      <c r="J18" s="7">
        <v>40</v>
      </c>
      <c r="K18" s="7"/>
      <c r="L18" s="7"/>
    </row>
    <row r="19" spans="1:12" x14ac:dyDescent="0.2">
      <c r="A19" s="1" t="s">
        <v>38</v>
      </c>
      <c r="C19" s="7">
        <v>18</v>
      </c>
      <c r="D19" s="7">
        <v>18</v>
      </c>
      <c r="E19" s="7">
        <v>18</v>
      </c>
      <c r="F19" s="7">
        <v>18</v>
      </c>
      <c r="G19" s="7">
        <v>18</v>
      </c>
      <c r="H19" s="7">
        <v>18</v>
      </c>
      <c r="I19" s="7">
        <v>18</v>
      </c>
      <c r="J19" s="7">
        <v>18</v>
      </c>
      <c r="K19" s="7"/>
      <c r="L19" s="7"/>
    </row>
    <row r="20" spans="1:12" x14ac:dyDescent="0.2">
      <c r="A20" s="1" t="s">
        <v>8</v>
      </c>
      <c r="C20" s="7">
        <v>9</v>
      </c>
      <c r="D20" s="7">
        <v>9</v>
      </c>
      <c r="E20" s="7">
        <v>9</v>
      </c>
      <c r="F20" s="7">
        <v>9</v>
      </c>
      <c r="G20" s="7">
        <v>9</v>
      </c>
      <c r="H20" s="7">
        <v>9</v>
      </c>
      <c r="I20" s="7">
        <v>9</v>
      </c>
      <c r="J20" s="7">
        <v>9</v>
      </c>
      <c r="K20" s="7"/>
      <c r="L20" s="7"/>
    </row>
    <row r="21" spans="1:12" x14ac:dyDescent="0.2">
      <c r="C21" s="7"/>
      <c r="D21" s="7"/>
      <c r="E21" s="7"/>
      <c r="F21" s="7"/>
      <c r="G21" s="7"/>
      <c r="H21" s="7"/>
      <c r="I21" s="7"/>
      <c r="J21" s="7"/>
      <c r="K21" s="7"/>
      <c r="L21" s="7"/>
    </row>
    <row r="22" spans="1:12" x14ac:dyDescent="0.2">
      <c r="A22" s="1" t="s">
        <v>2</v>
      </c>
      <c r="C22" s="7">
        <f t="shared" ref="C22:J22" si="2">SUM(C16:C21)</f>
        <v>349</v>
      </c>
      <c r="D22" s="7">
        <f t="shared" si="2"/>
        <v>349</v>
      </c>
      <c r="E22" s="7">
        <f t="shared" si="2"/>
        <v>349</v>
      </c>
      <c r="F22" s="7">
        <f t="shared" si="2"/>
        <v>349</v>
      </c>
      <c r="G22" s="7">
        <f t="shared" si="2"/>
        <v>349</v>
      </c>
      <c r="H22" s="7">
        <f t="shared" si="2"/>
        <v>349</v>
      </c>
      <c r="I22" s="7">
        <f t="shared" si="2"/>
        <v>349</v>
      </c>
      <c r="J22" s="7">
        <f t="shared" si="2"/>
        <v>349</v>
      </c>
      <c r="K22" s="7"/>
      <c r="L22" s="7"/>
    </row>
    <row r="23" spans="1:12" x14ac:dyDescent="0.2">
      <c r="A23" s="1" t="s">
        <v>32</v>
      </c>
      <c r="C23" s="7">
        <f>C22*6%</f>
        <v>20.939999999999998</v>
      </c>
      <c r="D23" s="7">
        <f t="shared" ref="D23:J23" si="3">D22*6%</f>
        <v>20.939999999999998</v>
      </c>
      <c r="E23" s="7">
        <f t="shared" si="3"/>
        <v>20.939999999999998</v>
      </c>
      <c r="F23" s="7">
        <f t="shared" si="3"/>
        <v>20.939999999999998</v>
      </c>
      <c r="G23" s="7">
        <f t="shared" si="3"/>
        <v>20.939999999999998</v>
      </c>
      <c r="H23" s="7">
        <f t="shared" si="3"/>
        <v>20.939999999999998</v>
      </c>
      <c r="I23" s="7">
        <f t="shared" si="3"/>
        <v>20.939999999999998</v>
      </c>
      <c r="J23" s="7">
        <f t="shared" si="3"/>
        <v>20.939999999999998</v>
      </c>
      <c r="K23" s="7"/>
      <c r="L23" s="7"/>
    </row>
    <row r="24" spans="1:12" x14ac:dyDescent="0.2">
      <c r="C24" s="7"/>
      <c r="D24" s="7"/>
      <c r="E24" s="7"/>
      <c r="F24" s="7"/>
      <c r="G24" s="7"/>
      <c r="H24" s="7"/>
      <c r="I24" s="7"/>
      <c r="J24" s="7"/>
      <c r="K24" s="7"/>
      <c r="L24" s="7"/>
    </row>
    <row r="25" spans="1:12" s="3" customFormat="1" x14ac:dyDescent="0.2">
      <c r="A25" s="8" t="s">
        <v>3</v>
      </c>
      <c r="B25" s="8"/>
      <c r="C25" s="7">
        <f t="shared" ref="C25:J25" si="4">SUM(C22:C24)</f>
        <v>369.94</v>
      </c>
      <c r="D25" s="7">
        <f t="shared" si="4"/>
        <v>369.94</v>
      </c>
      <c r="E25" s="7">
        <f t="shared" si="4"/>
        <v>369.94</v>
      </c>
      <c r="F25" s="7">
        <f t="shared" si="4"/>
        <v>369.94</v>
      </c>
      <c r="G25" s="7">
        <f t="shared" si="4"/>
        <v>369.94</v>
      </c>
      <c r="H25" s="7">
        <f t="shared" si="4"/>
        <v>369.94</v>
      </c>
      <c r="I25" s="7">
        <f t="shared" si="4"/>
        <v>369.94</v>
      </c>
      <c r="J25" s="7">
        <f t="shared" si="4"/>
        <v>369.94</v>
      </c>
      <c r="K25" s="7"/>
      <c r="L25" s="7"/>
    </row>
    <row r="26" spans="1:12" x14ac:dyDescent="0.2">
      <c r="C26" s="7"/>
      <c r="D26" s="7"/>
      <c r="E26" s="7"/>
      <c r="F26" s="7"/>
      <c r="G26" s="7"/>
      <c r="H26" s="7"/>
      <c r="I26" s="7"/>
      <c r="J26" s="7"/>
      <c r="K26" s="7"/>
      <c r="L26" s="7"/>
    </row>
    <row r="27" spans="1:12" x14ac:dyDescent="0.2">
      <c r="A27" s="1" t="s">
        <v>4</v>
      </c>
      <c r="C27" s="2">
        <f>C25*C14/1000</f>
        <v>54.412107279952011</v>
      </c>
      <c r="D27" s="2">
        <f t="shared" ref="D27:J27" si="5">D25*D14/1000</f>
        <v>61.852659818172</v>
      </c>
      <c r="E27" s="2">
        <f t="shared" si="5"/>
        <v>69.708499009688012</v>
      </c>
      <c r="F27" s="2">
        <f t="shared" si="5"/>
        <v>77.979624854500003</v>
      </c>
      <c r="G27" s="2">
        <f t="shared" si="5"/>
        <v>89.274707292439984</v>
      </c>
      <c r="H27" s="2">
        <f t="shared" si="5"/>
        <v>98.514835328275979</v>
      </c>
      <c r="I27" s="2">
        <f t="shared" si="5"/>
        <v>108.17025001740801</v>
      </c>
      <c r="J27" s="2">
        <f t="shared" si="5"/>
        <v>118.240951359836</v>
      </c>
      <c r="K27" s="2"/>
      <c r="L27" s="2"/>
    </row>
    <row r="28" spans="1:12" x14ac:dyDescent="0.2">
      <c r="A28" s="1" t="s">
        <v>5</v>
      </c>
      <c r="C28" s="2">
        <v>16</v>
      </c>
      <c r="D28" s="2">
        <v>16</v>
      </c>
      <c r="E28" s="2">
        <v>16</v>
      </c>
      <c r="F28" s="2">
        <v>16</v>
      </c>
      <c r="G28" s="2">
        <v>16</v>
      </c>
      <c r="H28" s="2">
        <v>16</v>
      </c>
      <c r="I28" s="2">
        <v>16</v>
      </c>
      <c r="J28" s="2">
        <v>16</v>
      </c>
      <c r="K28" s="2"/>
      <c r="L28" s="2"/>
    </row>
    <row r="29" spans="1:12" x14ac:dyDescent="0.2">
      <c r="A29" s="1" t="s">
        <v>22</v>
      </c>
      <c r="C29" s="2">
        <v>0.45</v>
      </c>
      <c r="D29" s="2">
        <v>0.45</v>
      </c>
      <c r="E29" s="2">
        <v>0.45</v>
      </c>
      <c r="F29" s="2">
        <v>0.45</v>
      </c>
      <c r="G29" s="2">
        <v>0.45</v>
      </c>
      <c r="H29" s="2">
        <v>0.45</v>
      </c>
      <c r="I29" s="2">
        <v>0.45</v>
      </c>
      <c r="J29" s="2">
        <v>0.45</v>
      </c>
      <c r="K29" s="2"/>
      <c r="L29" s="2"/>
    </row>
    <row r="30" spans="1:12" x14ac:dyDescent="0.2">
      <c r="A30" s="1" t="s">
        <v>17</v>
      </c>
      <c r="C30" s="2">
        <v>0.4</v>
      </c>
      <c r="D30" s="2">
        <v>0.4</v>
      </c>
      <c r="E30" s="2">
        <v>0.4</v>
      </c>
      <c r="F30" s="2">
        <v>0.4</v>
      </c>
      <c r="G30" s="2">
        <v>0.4</v>
      </c>
      <c r="H30" s="2">
        <v>0.4</v>
      </c>
      <c r="I30" s="2">
        <v>0.4</v>
      </c>
      <c r="J30" s="2">
        <v>0.4</v>
      </c>
      <c r="K30" s="2"/>
      <c r="L30" s="2"/>
    </row>
    <row r="31" spans="1:12" x14ac:dyDescent="0.2">
      <c r="A31" s="1" t="s">
        <v>18</v>
      </c>
      <c r="C31" s="2">
        <v>1</v>
      </c>
      <c r="D31" s="2">
        <v>1</v>
      </c>
      <c r="E31" s="2">
        <v>1</v>
      </c>
      <c r="F31" s="2">
        <v>1</v>
      </c>
      <c r="G31" s="2">
        <v>1</v>
      </c>
      <c r="H31" s="2">
        <v>1</v>
      </c>
      <c r="I31" s="2">
        <v>1</v>
      </c>
      <c r="J31" s="2">
        <v>1</v>
      </c>
      <c r="K31" s="2"/>
      <c r="L31" s="2"/>
    </row>
    <row r="32" spans="1:12" x14ac:dyDescent="0.2">
      <c r="A32" s="1" t="s">
        <v>9</v>
      </c>
      <c r="C32" s="2">
        <v>1</v>
      </c>
      <c r="D32" s="2">
        <v>1</v>
      </c>
      <c r="E32" s="2">
        <v>1</v>
      </c>
      <c r="F32" s="2">
        <v>1</v>
      </c>
      <c r="G32" s="2">
        <v>1</v>
      </c>
      <c r="H32" s="2">
        <v>1</v>
      </c>
      <c r="I32" s="2">
        <v>1</v>
      </c>
      <c r="J32" s="2">
        <v>1</v>
      </c>
      <c r="K32" s="2"/>
      <c r="L32" s="2"/>
    </row>
    <row r="33" spans="1:12" x14ac:dyDescent="0.2">
      <c r="A33" s="1" t="s">
        <v>20</v>
      </c>
      <c r="C33" s="2">
        <v>1.5</v>
      </c>
      <c r="D33" s="2">
        <v>1.5</v>
      </c>
      <c r="E33" s="2">
        <v>1.5</v>
      </c>
      <c r="F33" s="2">
        <v>1.5</v>
      </c>
      <c r="G33" s="2">
        <v>1.5</v>
      </c>
      <c r="H33" s="2">
        <v>1.5</v>
      </c>
      <c r="I33" s="2">
        <v>1.5</v>
      </c>
      <c r="J33" s="2">
        <v>1.5</v>
      </c>
      <c r="K33" s="2"/>
      <c r="L33" s="2"/>
    </row>
    <row r="34" spans="1:12" x14ac:dyDescent="0.2">
      <c r="C34" s="2"/>
      <c r="D34" s="2"/>
      <c r="E34" s="2"/>
      <c r="F34" s="2"/>
      <c r="G34" s="2"/>
      <c r="H34" s="2"/>
      <c r="I34" s="2"/>
      <c r="J34" s="2"/>
      <c r="K34" s="2"/>
      <c r="L34" s="2"/>
    </row>
    <row r="35" spans="1:12" x14ac:dyDescent="0.2">
      <c r="A35" s="1" t="s">
        <v>2</v>
      </c>
      <c r="C35" s="2">
        <f>SUM(C27:C34)</f>
        <v>74.762107279952019</v>
      </c>
      <c r="D35" s="2">
        <f t="shared" ref="D35:J35" si="6">SUM(D27:D34)</f>
        <v>82.202659818172009</v>
      </c>
      <c r="E35" s="2">
        <f t="shared" si="6"/>
        <v>90.05849900968802</v>
      </c>
      <c r="F35" s="2">
        <f t="shared" si="6"/>
        <v>98.329624854500011</v>
      </c>
      <c r="G35" s="2">
        <f t="shared" si="6"/>
        <v>109.62470729243999</v>
      </c>
      <c r="H35" s="2">
        <f t="shared" si="6"/>
        <v>118.86483532827599</v>
      </c>
      <c r="I35" s="2">
        <f t="shared" si="6"/>
        <v>128.52025001740802</v>
      </c>
      <c r="J35" s="2">
        <f t="shared" si="6"/>
        <v>138.590951359836</v>
      </c>
      <c r="K35" s="2"/>
      <c r="L35" s="2"/>
    </row>
    <row r="36" spans="1:12" x14ac:dyDescent="0.2">
      <c r="A36" s="1" t="s">
        <v>19</v>
      </c>
      <c r="C36" s="2">
        <f t="shared" ref="C36:J36" si="7">C35*1%</f>
        <v>0.74762107279952017</v>
      </c>
      <c r="D36" s="2">
        <f t="shared" si="7"/>
        <v>0.82202659818172008</v>
      </c>
      <c r="E36" s="2">
        <f t="shared" si="7"/>
        <v>0.9005849900968802</v>
      </c>
      <c r="F36" s="2">
        <f t="shared" si="7"/>
        <v>0.98329624854500008</v>
      </c>
      <c r="G36" s="2">
        <f t="shared" si="7"/>
        <v>1.0962470729244</v>
      </c>
      <c r="H36" s="2">
        <f t="shared" si="7"/>
        <v>1.1886483532827599</v>
      </c>
      <c r="I36" s="2">
        <f t="shared" si="7"/>
        <v>1.2852025001740801</v>
      </c>
      <c r="J36" s="2">
        <f t="shared" si="7"/>
        <v>1.3859095135983599</v>
      </c>
      <c r="K36" s="2"/>
      <c r="L36" s="2"/>
    </row>
    <row r="37" spans="1:12" x14ac:dyDescent="0.2">
      <c r="C37" s="2"/>
      <c r="D37" s="2"/>
      <c r="E37" s="2"/>
      <c r="F37" s="2"/>
      <c r="G37" s="2"/>
      <c r="H37" s="2"/>
      <c r="I37" s="2"/>
      <c r="J37" s="2"/>
      <c r="K37" s="2"/>
      <c r="L37" s="2"/>
    </row>
    <row r="38" spans="1:12" x14ac:dyDescent="0.2">
      <c r="A38" s="1" t="s">
        <v>2</v>
      </c>
      <c r="C38" s="2">
        <f t="shared" ref="C38:J38" si="8">SUM(C35:C37)</f>
        <v>75.509728352751537</v>
      </c>
      <c r="D38" s="2">
        <f t="shared" si="8"/>
        <v>83.024686416353731</v>
      </c>
      <c r="E38" s="2">
        <f t="shared" si="8"/>
        <v>90.959083999784895</v>
      </c>
      <c r="F38" s="2">
        <f t="shared" si="8"/>
        <v>99.312921103045014</v>
      </c>
      <c r="G38" s="2">
        <f t="shared" si="8"/>
        <v>110.72095436536439</v>
      </c>
      <c r="H38" s="2">
        <f t="shared" si="8"/>
        <v>120.05348368155875</v>
      </c>
      <c r="I38" s="2">
        <f t="shared" si="8"/>
        <v>129.8054525175821</v>
      </c>
      <c r="J38" s="2">
        <f t="shared" si="8"/>
        <v>139.97686087343436</v>
      </c>
      <c r="K38" s="2"/>
      <c r="L38" s="2"/>
    </row>
    <row r="39" spans="1:12" x14ac:dyDescent="0.2">
      <c r="A39" s="1" t="s">
        <v>42</v>
      </c>
      <c r="C39" s="2">
        <f>C38*20%</f>
        <v>15.101945670550307</v>
      </c>
      <c r="D39" s="2">
        <f t="shared" ref="D39:J39" si="9">D38*20%</f>
        <v>16.604937283270747</v>
      </c>
      <c r="E39" s="2">
        <f t="shared" si="9"/>
        <v>18.191816799956978</v>
      </c>
      <c r="F39" s="2">
        <f t="shared" si="9"/>
        <v>19.862584220609005</v>
      </c>
      <c r="G39" s="2">
        <f t="shared" si="9"/>
        <v>22.14419087307288</v>
      </c>
      <c r="H39" s="2">
        <f t="shared" si="9"/>
        <v>24.01069673631175</v>
      </c>
      <c r="I39" s="2">
        <f t="shared" si="9"/>
        <v>25.96109050351642</v>
      </c>
      <c r="J39" s="2">
        <f t="shared" si="9"/>
        <v>27.995372174686874</v>
      </c>
      <c r="K39" s="2"/>
      <c r="L39" s="2"/>
    </row>
    <row r="40" spans="1:12" x14ac:dyDescent="0.2">
      <c r="C40" s="2"/>
      <c r="D40" s="2"/>
      <c r="E40" s="2"/>
      <c r="F40" s="2"/>
      <c r="G40" s="2"/>
      <c r="H40" s="2"/>
      <c r="I40" s="2"/>
      <c r="J40" s="2"/>
      <c r="K40" s="2"/>
      <c r="L40" s="2"/>
    </row>
    <row r="41" spans="1:12" x14ac:dyDescent="0.2">
      <c r="A41" s="1" t="s">
        <v>6</v>
      </c>
      <c r="C41" s="2">
        <f t="shared" ref="C41:J41" si="10">SUM(C38:C40)</f>
        <v>90.611674023301845</v>
      </c>
      <c r="D41" s="2">
        <f t="shared" si="10"/>
        <v>99.629623699624474</v>
      </c>
      <c r="E41" s="2">
        <f t="shared" si="10"/>
        <v>109.15090079974188</v>
      </c>
      <c r="F41" s="2">
        <f t="shared" si="10"/>
        <v>119.17550532365402</v>
      </c>
      <c r="G41" s="2">
        <f t="shared" si="10"/>
        <v>132.86514523843726</v>
      </c>
      <c r="H41" s="2">
        <f t="shared" si="10"/>
        <v>144.06418041787049</v>
      </c>
      <c r="I41" s="2">
        <f t="shared" si="10"/>
        <v>155.76654302109853</v>
      </c>
      <c r="J41" s="2">
        <f t="shared" si="10"/>
        <v>167.97223304812124</v>
      </c>
      <c r="K41" s="2"/>
      <c r="L41" s="2"/>
    </row>
    <row r="42" spans="1:12" x14ac:dyDescent="0.2">
      <c r="C42" s="2"/>
      <c r="D42" s="2"/>
      <c r="E42" s="2"/>
      <c r="F42" s="2"/>
      <c r="G42" s="2"/>
      <c r="H42" s="2"/>
      <c r="I42" s="2"/>
      <c r="J42" s="2"/>
      <c r="K42" s="2"/>
      <c r="L42" s="2"/>
    </row>
    <row r="43" spans="1:12" s="6" customFormat="1" x14ac:dyDescent="0.2">
      <c r="A43" s="6" t="s">
        <v>29</v>
      </c>
      <c r="C43" s="5">
        <f>C41/85</f>
        <v>1.0660196943917863</v>
      </c>
      <c r="D43" s="5">
        <f t="shared" ref="D43:J43" si="11">D41/85</f>
        <v>1.1721132199955822</v>
      </c>
      <c r="E43" s="5">
        <f t="shared" si="11"/>
        <v>1.2841282447028457</v>
      </c>
      <c r="F43" s="5">
        <f t="shared" si="11"/>
        <v>1.4020647685135768</v>
      </c>
      <c r="G43" s="5">
        <f t="shared" si="11"/>
        <v>1.5631193557463208</v>
      </c>
      <c r="H43" s="5">
        <f t="shared" si="11"/>
        <v>1.6948727107984762</v>
      </c>
      <c r="I43" s="5">
        <f t="shared" si="11"/>
        <v>1.8325475649541003</v>
      </c>
      <c r="J43" s="5">
        <f t="shared" si="11"/>
        <v>1.976143918213191</v>
      </c>
      <c r="K43" s="5"/>
      <c r="L43" s="5"/>
    </row>
    <row r="44" spans="1:12" s="6" customFormat="1" x14ac:dyDescent="0.2">
      <c r="C44" s="5"/>
      <c r="D44" s="5"/>
      <c r="E44" s="5"/>
      <c r="F44" s="5"/>
      <c r="G44" s="5"/>
      <c r="H44" s="5"/>
      <c r="I44" s="5"/>
      <c r="J44" s="5"/>
      <c r="K44" s="5"/>
      <c r="L44" s="5"/>
    </row>
    <row r="45" spans="1:12" x14ac:dyDescent="0.2">
      <c r="A45" s="6" t="s">
        <v>39</v>
      </c>
      <c r="B45" s="6"/>
      <c r="C45" s="5">
        <v>7.0000000000000007E-2</v>
      </c>
      <c r="D45" s="5">
        <v>7.0000000000000007E-2</v>
      </c>
      <c r="E45" s="5">
        <v>7.0000000000000007E-2</v>
      </c>
      <c r="F45" s="5">
        <v>7.0000000000000007E-2</v>
      </c>
      <c r="G45" s="5">
        <v>7.0000000000000007E-2</v>
      </c>
      <c r="H45" s="5">
        <v>7.0000000000000007E-2</v>
      </c>
      <c r="I45" s="5">
        <v>7.0000000000000007E-2</v>
      </c>
      <c r="J45" s="5">
        <v>7.0000000000000007E-2</v>
      </c>
      <c r="K45" s="2"/>
      <c r="L45" s="2"/>
    </row>
    <row r="46" spans="1:12" x14ac:dyDescent="0.2">
      <c r="A46" s="1" t="s">
        <v>40</v>
      </c>
      <c r="C46" s="2">
        <f>0.3*34.5%</f>
        <v>0.10349999999999999</v>
      </c>
      <c r="D46" s="2">
        <f t="shared" ref="D46:J46" si="12">0.3*34.5%</f>
        <v>0.10349999999999999</v>
      </c>
      <c r="E46" s="2">
        <f t="shared" si="12"/>
        <v>0.10349999999999999</v>
      </c>
      <c r="F46" s="2">
        <f t="shared" si="12"/>
        <v>0.10349999999999999</v>
      </c>
      <c r="G46" s="2">
        <f t="shared" si="12"/>
        <v>0.10349999999999999</v>
      </c>
      <c r="H46" s="2">
        <f t="shared" si="12"/>
        <v>0.10349999999999999</v>
      </c>
      <c r="I46" s="2">
        <f t="shared" si="12"/>
        <v>0.10349999999999999</v>
      </c>
      <c r="J46" s="2">
        <f t="shared" si="12"/>
        <v>0.10349999999999999</v>
      </c>
      <c r="K46" s="2"/>
      <c r="L46" s="2"/>
    </row>
    <row r="47" spans="1:12" x14ac:dyDescent="0.2">
      <c r="C47" s="2"/>
      <c r="D47" s="2"/>
    </row>
    <row r="48" spans="1:12" x14ac:dyDescent="0.2">
      <c r="A48" s="1" t="s">
        <v>41</v>
      </c>
      <c r="C48" s="2">
        <f>SUM(C43:C47)</f>
        <v>1.2395196943917863</v>
      </c>
      <c r="D48" s="2">
        <f t="shared" ref="D48:J48" si="13">SUM(D43:D47)</f>
        <v>1.3456132199955821</v>
      </c>
      <c r="E48" s="2">
        <f t="shared" si="13"/>
        <v>1.4576282447028457</v>
      </c>
      <c r="F48" s="2">
        <f t="shared" si="13"/>
        <v>1.5755647685135767</v>
      </c>
      <c r="G48" s="2">
        <f t="shared" si="13"/>
        <v>1.7366193557463208</v>
      </c>
      <c r="H48" s="2">
        <f t="shared" si="13"/>
        <v>1.8683727107984762</v>
      </c>
      <c r="I48" s="2">
        <f t="shared" si="13"/>
        <v>2.0060475649541005</v>
      </c>
      <c r="J48" s="2">
        <f t="shared" si="13"/>
        <v>2.149643918213191</v>
      </c>
    </row>
    <row r="49" spans="3:4" x14ac:dyDescent="0.2">
      <c r="C49" s="2"/>
      <c r="D49" s="2"/>
    </row>
    <row r="50" spans="3:4" x14ac:dyDescent="0.2">
      <c r="C50" s="2"/>
      <c r="D50" s="2"/>
    </row>
    <row r="51" spans="3:4" x14ac:dyDescent="0.2">
      <c r="C51" s="2"/>
      <c r="D51" s="2"/>
    </row>
    <row r="52" spans="3:4" x14ac:dyDescent="0.2">
      <c r="C52" s="2"/>
      <c r="D52" s="2"/>
    </row>
    <row r="53" spans="3:4" x14ac:dyDescent="0.2">
      <c r="C53" s="2"/>
      <c r="D53" s="2"/>
    </row>
    <row r="54" spans="3:4" x14ac:dyDescent="0.2">
      <c r="C54" s="2"/>
      <c r="D54" s="2"/>
    </row>
    <row r="55" spans="3:4" x14ac:dyDescent="0.2">
      <c r="C55" s="2"/>
      <c r="D55" s="2"/>
    </row>
    <row r="56" spans="3:4" x14ac:dyDescent="0.2">
      <c r="C56" s="2"/>
      <c r="D56" s="2"/>
    </row>
    <row r="57" spans="3:4" x14ac:dyDescent="0.2">
      <c r="C57" s="2"/>
      <c r="D57" s="2"/>
    </row>
    <row r="58" spans="3:4" x14ac:dyDescent="0.2">
      <c r="C58" s="2"/>
      <c r="D58" s="2"/>
    </row>
    <row r="59" spans="3:4" x14ac:dyDescent="0.2">
      <c r="C59" s="2"/>
      <c r="D59" s="2"/>
    </row>
    <row r="60" spans="3:4" x14ac:dyDescent="0.2">
      <c r="C60" s="2"/>
      <c r="D60" s="2"/>
    </row>
    <row r="61" spans="3:4" x14ac:dyDescent="0.2">
      <c r="C61" s="2"/>
      <c r="D61" s="2"/>
    </row>
    <row r="62" spans="3:4" x14ac:dyDescent="0.2">
      <c r="C62" s="2"/>
      <c r="D62" s="2"/>
    </row>
    <row r="63" spans="3:4" x14ac:dyDescent="0.2">
      <c r="C63" s="2"/>
      <c r="D63" s="2"/>
    </row>
    <row r="64" spans="3:4" x14ac:dyDescent="0.2">
      <c r="C64" s="2"/>
      <c r="D64" s="2"/>
    </row>
    <row r="65" spans="3:4" x14ac:dyDescent="0.2">
      <c r="C65" s="2"/>
      <c r="D65" s="2"/>
    </row>
    <row r="66" spans="3:4" x14ac:dyDescent="0.2">
      <c r="C66" s="2"/>
      <c r="D66" s="2"/>
    </row>
    <row r="67" spans="3:4" x14ac:dyDescent="0.2">
      <c r="C67" s="4"/>
      <c r="D67" s="4"/>
    </row>
    <row r="68" spans="3:4" x14ac:dyDescent="0.2">
      <c r="C68" s="2"/>
      <c r="D68" s="2"/>
    </row>
    <row r="69" spans="3:4" x14ac:dyDescent="0.2">
      <c r="C69" s="4"/>
      <c r="D69" s="4"/>
    </row>
    <row r="70" spans="3:4" x14ac:dyDescent="0.2">
      <c r="C70" s="2"/>
      <c r="D70" s="2"/>
    </row>
    <row r="71" spans="3:4" x14ac:dyDescent="0.2">
      <c r="C71" s="4"/>
      <c r="D71" s="4"/>
    </row>
    <row r="72" spans="3:4" x14ac:dyDescent="0.2">
      <c r="C72" s="2"/>
      <c r="D72" s="2"/>
    </row>
    <row r="73" spans="3:4" x14ac:dyDescent="0.2">
      <c r="C73" s="2"/>
      <c r="D73" s="2"/>
    </row>
  </sheetData>
  <pageMargins left="0.39370078740157483" right="0.39370078740157483" top="0.39370078740157483" bottom="0.39370078740157483" header="0.39370078740157483" footer="0.39370078740157483"/>
  <pageSetup paperSize="9" scale="91" orientation="portrait" r:id="rId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DE2737-9B13-47D1-A8EF-1D31E5DC6D79}">
  <sheetPr>
    <pageSetUpPr fitToPage="1"/>
  </sheetPr>
  <dimension ref="A1:L73"/>
  <sheetViews>
    <sheetView zoomScaleNormal="100" workbookViewId="0">
      <selection activeCell="C10" sqref="C10"/>
    </sheetView>
  </sheetViews>
  <sheetFormatPr defaultColWidth="9.14453125" defaultRowHeight="15" x14ac:dyDescent="0.2"/>
  <cols>
    <col min="1" max="1" width="18.16015625" style="1" bestFit="1" customWidth="1"/>
    <col min="2" max="2" width="5.6484375" style="1" customWidth="1"/>
    <col min="3" max="10" width="17.21875" style="1" bestFit="1" customWidth="1"/>
    <col min="11" max="12" width="13.85546875" style="1" bestFit="1" customWidth="1"/>
    <col min="13" max="16384" width="9.14453125" style="1"/>
  </cols>
  <sheetData>
    <row r="1" spans="1:12" ht="30" customHeight="1" x14ac:dyDescent="0.2">
      <c r="A1" s="1" t="s">
        <v>28</v>
      </c>
      <c r="C1" s="9" t="s">
        <v>30</v>
      </c>
      <c r="D1" s="9" t="s">
        <v>30</v>
      </c>
      <c r="E1" s="9" t="s">
        <v>30</v>
      </c>
      <c r="F1" s="9" t="s">
        <v>30</v>
      </c>
      <c r="G1" s="9" t="s">
        <v>30</v>
      </c>
      <c r="H1" s="9" t="s">
        <v>30</v>
      </c>
      <c r="I1" s="9" t="s">
        <v>30</v>
      </c>
      <c r="J1" s="9" t="s">
        <v>30</v>
      </c>
      <c r="K1" s="9"/>
      <c r="L1" s="9"/>
    </row>
    <row r="2" spans="1:12" x14ac:dyDescent="0.2">
      <c r="A2" s="1" t="s">
        <v>0</v>
      </c>
      <c r="C2" s="1" t="s">
        <v>36</v>
      </c>
      <c r="D2" s="1" t="s">
        <v>36</v>
      </c>
      <c r="E2" s="1" t="s">
        <v>36</v>
      </c>
      <c r="F2" s="1" t="s">
        <v>36</v>
      </c>
      <c r="G2" s="1" t="s">
        <v>36</v>
      </c>
      <c r="H2" s="1" t="s">
        <v>36</v>
      </c>
      <c r="I2" s="1" t="s">
        <v>36</v>
      </c>
      <c r="J2" s="1" t="s">
        <v>36</v>
      </c>
    </row>
    <row r="3" spans="1:12" x14ac:dyDescent="0.2">
      <c r="A3" s="1" t="s">
        <v>1</v>
      </c>
      <c r="C3" s="1">
        <v>145</v>
      </c>
      <c r="D3" s="1">
        <v>145</v>
      </c>
      <c r="E3" s="1">
        <v>145</v>
      </c>
      <c r="F3" s="1">
        <v>145</v>
      </c>
      <c r="G3" s="1">
        <v>145</v>
      </c>
      <c r="H3" s="1">
        <v>145</v>
      </c>
      <c r="I3" s="1">
        <v>145</v>
      </c>
      <c r="J3" s="1">
        <v>145</v>
      </c>
    </row>
    <row r="4" spans="1:12" x14ac:dyDescent="0.2">
      <c r="C4" s="1" t="s">
        <v>23</v>
      </c>
      <c r="D4" s="1" t="s">
        <v>24</v>
      </c>
      <c r="E4" s="1" t="s">
        <v>25</v>
      </c>
      <c r="F4" s="1" t="s">
        <v>26</v>
      </c>
      <c r="G4" s="1" t="s">
        <v>27</v>
      </c>
      <c r="H4" s="1" t="s">
        <v>33</v>
      </c>
      <c r="I4" s="1" t="s">
        <v>34</v>
      </c>
      <c r="J4" s="1" t="s">
        <v>35</v>
      </c>
    </row>
    <row r="6" spans="1:12" x14ac:dyDescent="0.2">
      <c r="A6" s="1" t="s">
        <v>10</v>
      </c>
      <c r="C6" s="1">
        <v>18</v>
      </c>
      <c r="D6" s="1">
        <v>20</v>
      </c>
      <c r="E6" s="1">
        <v>22</v>
      </c>
      <c r="F6" s="1">
        <v>24</v>
      </c>
      <c r="G6" s="1">
        <v>26</v>
      </c>
      <c r="H6" s="1">
        <v>28</v>
      </c>
      <c r="I6" s="1">
        <v>30</v>
      </c>
      <c r="J6" s="1">
        <v>32</v>
      </c>
    </row>
    <row r="7" spans="1:12" x14ac:dyDescent="0.2">
      <c r="A7" s="1" t="s">
        <v>12</v>
      </c>
      <c r="C7" s="1">
        <v>27</v>
      </c>
      <c r="D7" s="1">
        <v>28</v>
      </c>
      <c r="E7" s="1">
        <v>29</v>
      </c>
      <c r="F7" s="1">
        <v>30</v>
      </c>
      <c r="G7" s="1">
        <v>32</v>
      </c>
      <c r="H7" s="1">
        <v>33</v>
      </c>
      <c r="I7" s="1">
        <v>34</v>
      </c>
      <c r="J7" s="1">
        <v>35</v>
      </c>
    </row>
    <row r="8" spans="1:12" x14ac:dyDescent="0.2">
      <c r="A8" s="1" t="s">
        <v>11</v>
      </c>
      <c r="C8" s="1">
        <v>8</v>
      </c>
      <c r="D8" s="1">
        <v>8.5</v>
      </c>
      <c r="E8" s="1">
        <v>9</v>
      </c>
      <c r="F8" s="1">
        <v>9.5</v>
      </c>
      <c r="G8" s="1">
        <v>10</v>
      </c>
      <c r="H8" s="1">
        <v>10.5</v>
      </c>
      <c r="I8" s="1">
        <v>11</v>
      </c>
      <c r="J8" s="1">
        <v>11.5</v>
      </c>
    </row>
    <row r="10" spans="1:12" x14ac:dyDescent="0.2">
      <c r="A10" s="1" t="s">
        <v>14</v>
      </c>
      <c r="C10" s="7">
        <f>(C6+1)*(C7+C8+3)*2*2.54*2.54/10000*C3</f>
        <v>135.08360080000003</v>
      </c>
      <c r="D10" s="7">
        <f t="shared" ref="D10:J10" si="0">(D6+1)*(D7+D8+3)*2*2.54*2.54/10000*D3</f>
        <v>155.1964638</v>
      </c>
      <c r="E10" s="7">
        <f t="shared" si="0"/>
        <v>176.43190520000002</v>
      </c>
      <c r="F10" s="7">
        <f t="shared" si="0"/>
        <v>198.78992500000001</v>
      </c>
      <c r="G10" s="7">
        <f t="shared" si="0"/>
        <v>227.32212599999997</v>
      </c>
      <c r="H10" s="7">
        <f t="shared" si="0"/>
        <v>252.29949539999998</v>
      </c>
      <c r="I10" s="7">
        <f t="shared" si="0"/>
        <v>278.39944320000001</v>
      </c>
      <c r="J10" s="7">
        <f t="shared" si="0"/>
        <v>305.62196940000001</v>
      </c>
      <c r="K10" s="7"/>
      <c r="L10" s="7"/>
    </row>
    <row r="11" spans="1:12" x14ac:dyDescent="0.2">
      <c r="A11" s="1" t="s">
        <v>21</v>
      </c>
      <c r="C11" s="7">
        <v>6</v>
      </c>
      <c r="D11" s="7">
        <v>6</v>
      </c>
      <c r="E11" s="7">
        <v>6</v>
      </c>
      <c r="F11" s="7">
        <v>6</v>
      </c>
      <c r="G11" s="7">
        <v>6</v>
      </c>
      <c r="H11" s="7">
        <v>6</v>
      </c>
      <c r="I11" s="7">
        <v>6</v>
      </c>
      <c r="J11" s="7">
        <v>6</v>
      </c>
      <c r="K11" s="7"/>
      <c r="L11" s="7"/>
    </row>
    <row r="12" spans="1:12" x14ac:dyDescent="0.2">
      <c r="A12" s="1" t="s">
        <v>13</v>
      </c>
      <c r="C12" s="7">
        <v>6</v>
      </c>
      <c r="D12" s="7">
        <v>6</v>
      </c>
      <c r="E12" s="7">
        <v>6</v>
      </c>
      <c r="F12" s="7">
        <v>6</v>
      </c>
      <c r="G12" s="7">
        <v>8</v>
      </c>
      <c r="H12" s="7">
        <v>8</v>
      </c>
      <c r="I12" s="7">
        <v>8</v>
      </c>
      <c r="J12" s="7">
        <v>8</v>
      </c>
      <c r="K12" s="7"/>
      <c r="L12" s="7"/>
    </row>
    <row r="14" spans="1:12" x14ac:dyDescent="0.2">
      <c r="A14" s="1" t="s">
        <v>15</v>
      </c>
      <c r="C14" s="7">
        <f t="shared" ref="C14:F14" si="1">SUM(C10:C13)</f>
        <v>147.08360080000003</v>
      </c>
      <c r="D14" s="7">
        <f t="shared" si="1"/>
        <v>167.1964638</v>
      </c>
      <c r="E14" s="7">
        <f t="shared" si="1"/>
        <v>188.43190520000002</v>
      </c>
      <c r="F14" s="7">
        <f t="shared" si="1"/>
        <v>210.78992500000001</v>
      </c>
      <c r="G14" s="7">
        <f t="shared" ref="G14:J14" si="2">SUM(G10:G13)</f>
        <v>241.32212599999997</v>
      </c>
      <c r="H14" s="7">
        <f t="shared" si="2"/>
        <v>266.29949539999996</v>
      </c>
      <c r="I14" s="7">
        <f t="shared" si="2"/>
        <v>292.39944320000001</v>
      </c>
      <c r="J14" s="7">
        <f t="shared" si="2"/>
        <v>319.62196940000001</v>
      </c>
      <c r="K14" s="7"/>
      <c r="L14" s="7"/>
    </row>
    <row r="16" spans="1:12" x14ac:dyDescent="0.2">
      <c r="A16" s="1" t="s">
        <v>16</v>
      </c>
      <c r="C16" s="7">
        <v>272</v>
      </c>
      <c r="D16" s="7">
        <v>272</v>
      </c>
      <c r="E16" s="7">
        <v>272</v>
      </c>
      <c r="F16" s="7">
        <v>272</v>
      </c>
      <c r="G16" s="7">
        <v>272</v>
      </c>
      <c r="H16" s="7">
        <v>272</v>
      </c>
      <c r="I16" s="7">
        <v>272</v>
      </c>
      <c r="J16" s="7">
        <v>272</v>
      </c>
      <c r="K16" s="7"/>
      <c r="L16" s="7"/>
    </row>
    <row r="17" spans="1:12" x14ac:dyDescent="0.2">
      <c r="A17" s="1" t="s">
        <v>7</v>
      </c>
      <c r="C17" s="7">
        <v>10</v>
      </c>
      <c r="D17" s="7">
        <v>10</v>
      </c>
      <c r="E17" s="7">
        <v>10</v>
      </c>
      <c r="F17" s="7">
        <v>10</v>
      </c>
      <c r="G17" s="7">
        <v>10</v>
      </c>
      <c r="H17" s="7">
        <v>10</v>
      </c>
      <c r="I17" s="7">
        <v>10</v>
      </c>
      <c r="J17" s="7">
        <v>10</v>
      </c>
      <c r="K17" s="7"/>
      <c r="L17" s="7"/>
    </row>
    <row r="18" spans="1:12" x14ac:dyDescent="0.2">
      <c r="A18" s="1" t="s">
        <v>37</v>
      </c>
      <c r="C18" s="7">
        <v>90</v>
      </c>
      <c r="D18" s="7">
        <v>90</v>
      </c>
      <c r="E18" s="7">
        <v>90</v>
      </c>
      <c r="F18" s="7">
        <v>90</v>
      </c>
      <c r="G18" s="7">
        <v>90</v>
      </c>
      <c r="H18" s="7">
        <v>90</v>
      </c>
      <c r="I18" s="7">
        <v>90</v>
      </c>
      <c r="J18" s="7">
        <v>90</v>
      </c>
      <c r="K18" s="7"/>
      <c r="L18" s="7"/>
    </row>
    <row r="19" spans="1:12" x14ac:dyDescent="0.2">
      <c r="A19" s="1" t="s">
        <v>38</v>
      </c>
      <c r="C19" s="7">
        <v>18</v>
      </c>
      <c r="D19" s="7">
        <v>18</v>
      </c>
      <c r="E19" s="7">
        <v>18</v>
      </c>
      <c r="F19" s="7">
        <v>18</v>
      </c>
      <c r="G19" s="7">
        <v>18</v>
      </c>
      <c r="H19" s="7">
        <v>18</v>
      </c>
      <c r="I19" s="7">
        <v>18</v>
      </c>
      <c r="J19" s="7">
        <v>18</v>
      </c>
      <c r="K19" s="7"/>
      <c r="L19" s="7"/>
    </row>
    <row r="20" spans="1:12" x14ac:dyDescent="0.2">
      <c r="A20" s="1" t="s">
        <v>8</v>
      </c>
      <c r="C20" s="7">
        <v>9</v>
      </c>
      <c r="D20" s="7">
        <v>9</v>
      </c>
      <c r="E20" s="7">
        <v>9</v>
      </c>
      <c r="F20" s="7">
        <v>9</v>
      </c>
      <c r="G20" s="7">
        <v>9</v>
      </c>
      <c r="H20" s="7">
        <v>9</v>
      </c>
      <c r="I20" s="7">
        <v>9</v>
      </c>
      <c r="J20" s="7">
        <v>9</v>
      </c>
      <c r="K20" s="7"/>
      <c r="L20" s="7"/>
    </row>
    <row r="21" spans="1:12" x14ac:dyDescent="0.2">
      <c r="C21" s="7"/>
      <c r="D21" s="7"/>
      <c r="E21" s="7"/>
      <c r="F21" s="7"/>
      <c r="G21" s="7"/>
      <c r="H21" s="7"/>
      <c r="I21" s="7"/>
      <c r="J21" s="7"/>
      <c r="K21" s="7"/>
      <c r="L21" s="7"/>
    </row>
    <row r="22" spans="1:12" x14ac:dyDescent="0.2">
      <c r="A22" s="1" t="s">
        <v>2</v>
      </c>
      <c r="C22" s="7">
        <f t="shared" ref="C22:J22" si="3">SUM(C16:C21)</f>
        <v>399</v>
      </c>
      <c r="D22" s="7">
        <f t="shared" si="3"/>
        <v>399</v>
      </c>
      <c r="E22" s="7">
        <f t="shared" si="3"/>
        <v>399</v>
      </c>
      <c r="F22" s="7">
        <f t="shared" si="3"/>
        <v>399</v>
      </c>
      <c r="G22" s="7">
        <f t="shared" si="3"/>
        <v>399</v>
      </c>
      <c r="H22" s="7">
        <f t="shared" si="3"/>
        <v>399</v>
      </c>
      <c r="I22" s="7">
        <f t="shared" si="3"/>
        <v>399</v>
      </c>
      <c r="J22" s="7">
        <f t="shared" si="3"/>
        <v>399</v>
      </c>
      <c r="K22" s="7"/>
      <c r="L22" s="7"/>
    </row>
    <row r="23" spans="1:12" x14ac:dyDescent="0.2">
      <c r="A23" s="1" t="s">
        <v>32</v>
      </c>
      <c r="C23" s="7">
        <f>C22*6%</f>
        <v>23.939999999999998</v>
      </c>
      <c r="D23" s="7">
        <f t="shared" ref="D23:J23" si="4">D22*6%</f>
        <v>23.939999999999998</v>
      </c>
      <c r="E23" s="7">
        <f t="shared" si="4"/>
        <v>23.939999999999998</v>
      </c>
      <c r="F23" s="7">
        <f t="shared" si="4"/>
        <v>23.939999999999998</v>
      </c>
      <c r="G23" s="7">
        <f t="shared" si="4"/>
        <v>23.939999999999998</v>
      </c>
      <c r="H23" s="7">
        <f t="shared" si="4"/>
        <v>23.939999999999998</v>
      </c>
      <c r="I23" s="7">
        <f t="shared" si="4"/>
        <v>23.939999999999998</v>
      </c>
      <c r="J23" s="7">
        <f t="shared" si="4"/>
        <v>23.939999999999998</v>
      </c>
      <c r="K23" s="7"/>
      <c r="L23" s="7"/>
    </row>
    <row r="24" spans="1:12" x14ac:dyDescent="0.2">
      <c r="C24" s="7"/>
      <c r="D24" s="7"/>
      <c r="E24" s="7"/>
      <c r="F24" s="7"/>
      <c r="G24" s="7"/>
      <c r="H24" s="7"/>
      <c r="I24" s="7"/>
      <c r="J24" s="7"/>
      <c r="K24" s="7"/>
      <c r="L24" s="7"/>
    </row>
    <row r="25" spans="1:12" s="3" customFormat="1" x14ac:dyDescent="0.2">
      <c r="A25" s="8" t="s">
        <v>3</v>
      </c>
      <c r="B25" s="8"/>
      <c r="C25" s="7">
        <f t="shared" ref="C25:J25" si="5">SUM(C22:C24)</f>
        <v>422.94</v>
      </c>
      <c r="D25" s="7">
        <f t="shared" si="5"/>
        <v>422.94</v>
      </c>
      <c r="E25" s="7">
        <f t="shared" si="5"/>
        <v>422.94</v>
      </c>
      <c r="F25" s="7">
        <f t="shared" si="5"/>
        <v>422.94</v>
      </c>
      <c r="G25" s="7">
        <f t="shared" si="5"/>
        <v>422.94</v>
      </c>
      <c r="H25" s="7">
        <f t="shared" si="5"/>
        <v>422.94</v>
      </c>
      <c r="I25" s="7">
        <f t="shared" si="5"/>
        <v>422.94</v>
      </c>
      <c r="J25" s="7">
        <f t="shared" si="5"/>
        <v>422.94</v>
      </c>
      <c r="K25" s="7"/>
      <c r="L25" s="7"/>
    </row>
    <row r="26" spans="1:12" x14ac:dyDescent="0.2">
      <c r="C26" s="7"/>
      <c r="D26" s="7"/>
      <c r="E26" s="7"/>
      <c r="F26" s="7"/>
      <c r="G26" s="7"/>
      <c r="H26" s="7"/>
      <c r="I26" s="7"/>
      <c r="J26" s="7"/>
      <c r="K26" s="7"/>
      <c r="L26" s="7"/>
    </row>
    <row r="27" spans="1:12" x14ac:dyDescent="0.2">
      <c r="A27" s="1" t="s">
        <v>4</v>
      </c>
      <c r="C27" s="2">
        <f>C25*C14/1000</f>
        <v>62.207538122352005</v>
      </c>
      <c r="D27" s="2">
        <f t="shared" ref="D27:J27" si="6">D25*D14/1000</f>
        <v>70.714072399572004</v>
      </c>
      <c r="E27" s="2">
        <f t="shared" si="6"/>
        <v>79.695389985288017</v>
      </c>
      <c r="F27" s="2">
        <f t="shared" si="6"/>
        <v>89.151490879500003</v>
      </c>
      <c r="G27" s="2">
        <f t="shared" si="6"/>
        <v>102.06477997043999</v>
      </c>
      <c r="H27" s="2">
        <f t="shared" si="6"/>
        <v>112.62870858447599</v>
      </c>
      <c r="I27" s="2">
        <f t="shared" si="6"/>
        <v>123.667420507008</v>
      </c>
      <c r="J27" s="2">
        <f t="shared" si="6"/>
        <v>135.18091573803602</v>
      </c>
      <c r="K27" s="2"/>
      <c r="L27" s="2"/>
    </row>
    <row r="28" spans="1:12" x14ac:dyDescent="0.2">
      <c r="A28" s="1" t="s">
        <v>5</v>
      </c>
      <c r="C28" s="2">
        <v>16</v>
      </c>
      <c r="D28" s="2">
        <v>16</v>
      </c>
      <c r="E28" s="2">
        <v>16</v>
      </c>
      <c r="F28" s="2">
        <v>16</v>
      </c>
      <c r="G28" s="2">
        <v>16</v>
      </c>
      <c r="H28" s="2">
        <v>16</v>
      </c>
      <c r="I28" s="2">
        <v>16</v>
      </c>
      <c r="J28" s="2">
        <v>16</v>
      </c>
      <c r="K28" s="2"/>
      <c r="L28" s="2"/>
    </row>
    <row r="29" spans="1:12" x14ac:dyDescent="0.2">
      <c r="A29" s="1" t="s">
        <v>22</v>
      </c>
      <c r="C29" s="2">
        <v>0.45</v>
      </c>
      <c r="D29" s="2">
        <v>0.45</v>
      </c>
      <c r="E29" s="2">
        <v>0.45</v>
      </c>
      <c r="F29" s="2">
        <v>0.45</v>
      </c>
      <c r="G29" s="2">
        <v>0.45</v>
      </c>
      <c r="H29" s="2">
        <v>0.45</v>
      </c>
      <c r="I29" s="2">
        <v>0.45</v>
      </c>
      <c r="J29" s="2">
        <v>0.45</v>
      </c>
      <c r="K29" s="2"/>
      <c r="L29" s="2"/>
    </row>
    <row r="30" spans="1:12" x14ac:dyDescent="0.2">
      <c r="A30" s="1" t="s">
        <v>17</v>
      </c>
      <c r="C30" s="2">
        <v>0.4</v>
      </c>
      <c r="D30" s="2">
        <v>0.4</v>
      </c>
      <c r="E30" s="2">
        <v>0.4</v>
      </c>
      <c r="F30" s="2">
        <v>0.4</v>
      </c>
      <c r="G30" s="2">
        <v>0.4</v>
      </c>
      <c r="H30" s="2">
        <v>0.4</v>
      </c>
      <c r="I30" s="2">
        <v>0.4</v>
      </c>
      <c r="J30" s="2">
        <v>0.4</v>
      </c>
      <c r="K30" s="2"/>
      <c r="L30" s="2"/>
    </row>
    <row r="31" spans="1:12" x14ac:dyDescent="0.2">
      <c r="A31" s="1" t="s">
        <v>18</v>
      </c>
      <c r="C31" s="2">
        <v>1</v>
      </c>
      <c r="D31" s="2">
        <v>1</v>
      </c>
      <c r="E31" s="2">
        <v>1</v>
      </c>
      <c r="F31" s="2">
        <v>1</v>
      </c>
      <c r="G31" s="2">
        <v>1</v>
      </c>
      <c r="H31" s="2">
        <v>1</v>
      </c>
      <c r="I31" s="2">
        <v>1</v>
      </c>
      <c r="J31" s="2">
        <v>1</v>
      </c>
      <c r="K31" s="2"/>
      <c r="L31" s="2"/>
    </row>
    <row r="32" spans="1:12" x14ac:dyDescent="0.2">
      <c r="A32" s="1" t="s">
        <v>9</v>
      </c>
      <c r="C32" s="2">
        <v>1</v>
      </c>
      <c r="D32" s="2">
        <v>1</v>
      </c>
      <c r="E32" s="2">
        <v>1</v>
      </c>
      <c r="F32" s="2">
        <v>1</v>
      </c>
      <c r="G32" s="2">
        <v>1</v>
      </c>
      <c r="H32" s="2">
        <v>1</v>
      </c>
      <c r="I32" s="2">
        <v>1</v>
      </c>
      <c r="J32" s="2">
        <v>1</v>
      </c>
      <c r="K32" s="2"/>
      <c r="L32" s="2"/>
    </row>
    <row r="33" spans="1:12" x14ac:dyDescent="0.2">
      <c r="A33" s="1" t="s">
        <v>20</v>
      </c>
      <c r="C33" s="2">
        <v>1.5</v>
      </c>
      <c r="D33" s="2">
        <v>1.5</v>
      </c>
      <c r="E33" s="2">
        <v>1.5</v>
      </c>
      <c r="F33" s="2">
        <v>1.5</v>
      </c>
      <c r="G33" s="2">
        <v>1.5</v>
      </c>
      <c r="H33" s="2">
        <v>1.5</v>
      </c>
      <c r="I33" s="2">
        <v>1.5</v>
      </c>
      <c r="J33" s="2">
        <v>1.5</v>
      </c>
      <c r="K33" s="2"/>
      <c r="L33" s="2"/>
    </row>
    <row r="34" spans="1:12" x14ac:dyDescent="0.2">
      <c r="C34" s="2"/>
      <c r="D34" s="2"/>
      <c r="E34" s="2"/>
      <c r="F34" s="2"/>
      <c r="G34" s="2"/>
      <c r="H34" s="2"/>
      <c r="I34" s="2"/>
      <c r="J34" s="2"/>
      <c r="K34" s="2"/>
      <c r="L34" s="2"/>
    </row>
    <row r="35" spans="1:12" x14ac:dyDescent="0.2">
      <c r="A35" s="1" t="s">
        <v>2</v>
      </c>
      <c r="C35" s="2">
        <f>SUM(C27:C34)</f>
        <v>82.557538122352014</v>
      </c>
      <c r="D35" s="2">
        <f t="shared" ref="D35:J35" si="7">SUM(D27:D34)</f>
        <v>91.064072399572012</v>
      </c>
      <c r="E35" s="2">
        <f t="shared" si="7"/>
        <v>100.04538998528803</v>
      </c>
      <c r="F35" s="2">
        <f t="shared" si="7"/>
        <v>109.50149087950001</v>
      </c>
      <c r="G35" s="2">
        <f t="shared" si="7"/>
        <v>122.41477997043999</v>
      </c>
      <c r="H35" s="2">
        <f t="shared" si="7"/>
        <v>132.97870858447598</v>
      </c>
      <c r="I35" s="2">
        <f t="shared" si="7"/>
        <v>144.01742050700798</v>
      </c>
      <c r="J35" s="2">
        <f t="shared" si="7"/>
        <v>155.53091573803601</v>
      </c>
      <c r="K35" s="2"/>
      <c r="L35" s="2"/>
    </row>
    <row r="36" spans="1:12" x14ac:dyDescent="0.2">
      <c r="A36" s="1" t="s">
        <v>19</v>
      </c>
      <c r="C36" s="2">
        <f t="shared" ref="C36:J36" si="8">C35*1%</f>
        <v>0.82557538122352014</v>
      </c>
      <c r="D36" s="2">
        <f t="shared" si="8"/>
        <v>0.91064072399572016</v>
      </c>
      <c r="E36" s="2">
        <f t="shared" si="8"/>
        <v>1.0004538998528802</v>
      </c>
      <c r="F36" s="2">
        <f t="shared" si="8"/>
        <v>1.0950149087950001</v>
      </c>
      <c r="G36" s="2">
        <f t="shared" si="8"/>
        <v>1.2241477997043999</v>
      </c>
      <c r="H36" s="2">
        <f t="shared" si="8"/>
        <v>1.3297870858447598</v>
      </c>
      <c r="I36" s="2">
        <f t="shared" si="8"/>
        <v>1.4401742050700799</v>
      </c>
      <c r="J36" s="2">
        <f t="shared" si="8"/>
        <v>1.5553091573803601</v>
      </c>
      <c r="K36" s="2"/>
      <c r="L36" s="2"/>
    </row>
    <row r="37" spans="1:12" x14ac:dyDescent="0.2">
      <c r="C37" s="2"/>
      <c r="D37" s="2"/>
      <c r="E37" s="2"/>
      <c r="F37" s="2"/>
      <c r="G37" s="2"/>
      <c r="H37" s="2"/>
      <c r="I37" s="2"/>
      <c r="J37" s="2"/>
      <c r="K37" s="2"/>
      <c r="L37" s="2"/>
    </row>
    <row r="38" spans="1:12" x14ac:dyDescent="0.2">
      <c r="A38" s="1" t="s">
        <v>2</v>
      </c>
      <c r="C38" s="2">
        <f t="shared" ref="C38:J38" si="9">SUM(C35:C37)</f>
        <v>83.38311350357553</v>
      </c>
      <c r="D38" s="2">
        <f t="shared" si="9"/>
        <v>91.974713123567739</v>
      </c>
      <c r="E38" s="2">
        <f t="shared" si="9"/>
        <v>101.04584388514091</v>
      </c>
      <c r="F38" s="2">
        <f t="shared" si="9"/>
        <v>110.596505788295</v>
      </c>
      <c r="G38" s="2">
        <f t="shared" si="9"/>
        <v>123.63892777014439</v>
      </c>
      <c r="H38" s="2">
        <f t="shared" si="9"/>
        <v>134.30849567032075</v>
      </c>
      <c r="I38" s="2">
        <f t="shared" si="9"/>
        <v>145.45759471207808</v>
      </c>
      <c r="J38" s="2">
        <f t="shared" si="9"/>
        <v>157.08622489541636</v>
      </c>
      <c r="K38" s="2"/>
      <c r="L38" s="2"/>
    </row>
    <row r="39" spans="1:12" x14ac:dyDescent="0.2">
      <c r="A39" s="1" t="s">
        <v>42</v>
      </c>
      <c r="C39" s="2">
        <f>C38*20%</f>
        <v>16.676622700715107</v>
      </c>
      <c r="D39" s="2">
        <f t="shared" ref="D39:J39" si="10">D38*20%</f>
        <v>18.394942624713547</v>
      </c>
      <c r="E39" s="2">
        <f t="shared" si="10"/>
        <v>20.209168777028182</v>
      </c>
      <c r="F39" s="2">
        <f t="shared" si="10"/>
        <v>22.119301157659002</v>
      </c>
      <c r="G39" s="2">
        <f t="shared" si="10"/>
        <v>24.72778555402888</v>
      </c>
      <c r="H39" s="2">
        <f t="shared" si="10"/>
        <v>26.861699134064153</v>
      </c>
      <c r="I39" s="2">
        <f t="shared" si="10"/>
        <v>29.091518942415618</v>
      </c>
      <c r="J39" s="2">
        <f t="shared" si="10"/>
        <v>31.417244979083275</v>
      </c>
      <c r="K39" s="2"/>
      <c r="L39" s="2"/>
    </row>
    <row r="40" spans="1:12" x14ac:dyDescent="0.2">
      <c r="C40" s="2"/>
      <c r="D40" s="2"/>
      <c r="E40" s="2"/>
      <c r="F40" s="2"/>
      <c r="G40" s="2"/>
      <c r="H40" s="2"/>
      <c r="I40" s="2"/>
      <c r="J40" s="2"/>
      <c r="K40" s="2"/>
      <c r="L40" s="2"/>
    </row>
    <row r="41" spans="1:12" x14ac:dyDescent="0.2">
      <c r="A41" s="1" t="s">
        <v>6</v>
      </c>
      <c r="C41" s="2">
        <f t="shared" ref="C41:J41" si="11">SUM(C38:C40)</f>
        <v>100.05973620429063</v>
      </c>
      <c r="D41" s="2">
        <f t="shared" si="11"/>
        <v>110.36965574828129</v>
      </c>
      <c r="E41" s="2">
        <f t="shared" si="11"/>
        <v>121.25501266216909</v>
      </c>
      <c r="F41" s="2">
        <f t="shared" si="11"/>
        <v>132.715806945954</v>
      </c>
      <c r="G41" s="2">
        <f t="shared" si="11"/>
        <v>148.36671332417328</v>
      </c>
      <c r="H41" s="2">
        <f t="shared" si="11"/>
        <v>161.17019480438489</v>
      </c>
      <c r="I41" s="2">
        <f t="shared" si="11"/>
        <v>174.54911365449368</v>
      </c>
      <c r="J41" s="2">
        <f t="shared" si="11"/>
        <v>188.50346987449964</v>
      </c>
      <c r="K41" s="2"/>
      <c r="L41" s="2"/>
    </row>
    <row r="42" spans="1:12" x14ac:dyDescent="0.2">
      <c r="C42" s="2"/>
      <c r="D42" s="2"/>
      <c r="E42" s="2"/>
      <c r="F42" s="2"/>
      <c r="G42" s="2"/>
      <c r="H42" s="2"/>
      <c r="I42" s="2"/>
      <c r="J42" s="2"/>
      <c r="K42" s="2"/>
      <c r="L42" s="2"/>
    </row>
    <row r="43" spans="1:12" s="6" customFormat="1" x14ac:dyDescent="0.2">
      <c r="A43" s="6" t="s">
        <v>29</v>
      </c>
      <c r="C43" s="5">
        <f>C41/85</f>
        <v>1.1771733671093014</v>
      </c>
      <c r="D43" s="5">
        <f t="shared" ref="D43:J43" si="12">D41/85</f>
        <v>1.298466538215074</v>
      </c>
      <c r="E43" s="5">
        <f t="shared" si="12"/>
        <v>1.426529560731401</v>
      </c>
      <c r="F43" s="5">
        <f t="shared" si="12"/>
        <v>1.5613624346582824</v>
      </c>
      <c r="G43" s="5">
        <f t="shared" si="12"/>
        <v>1.7454907449902739</v>
      </c>
      <c r="H43" s="5">
        <f t="shared" si="12"/>
        <v>1.8961199388751164</v>
      </c>
      <c r="I43" s="5">
        <f t="shared" si="12"/>
        <v>2.0535189841705139</v>
      </c>
      <c r="J43" s="5">
        <f t="shared" si="12"/>
        <v>2.2176878808764662</v>
      </c>
      <c r="K43" s="5"/>
      <c r="L43" s="5"/>
    </row>
    <row r="44" spans="1:12" s="6" customFormat="1" x14ac:dyDescent="0.2">
      <c r="C44" s="5"/>
      <c r="D44" s="5"/>
      <c r="E44" s="5"/>
      <c r="F44" s="5"/>
      <c r="G44" s="5"/>
      <c r="H44" s="5"/>
      <c r="I44" s="5"/>
      <c r="J44" s="5"/>
      <c r="K44" s="5"/>
      <c r="L44" s="5"/>
    </row>
    <row r="45" spans="1:12" x14ac:dyDescent="0.2">
      <c r="A45" s="6" t="s">
        <v>39</v>
      </c>
      <c r="B45" s="6"/>
      <c r="C45" s="5">
        <v>7.0000000000000007E-2</v>
      </c>
      <c r="D45" s="5">
        <v>7.0000000000000007E-2</v>
      </c>
      <c r="E45" s="5">
        <v>7.0000000000000007E-2</v>
      </c>
      <c r="F45" s="5">
        <v>7.0000000000000007E-2</v>
      </c>
      <c r="G45" s="5">
        <v>7.0000000000000007E-2</v>
      </c>
      <c r="H45" s="5">
        <v>7.0000000000000007E-2</v>
      </c>
      <c r="I45" s="5">
        <v>7.0000000000000007E-2</v>
      </c>
      <c r="J45" s="5">
        <v>7.0000000000000007E-2</v>
      </c>
      <c r="K45" s="2"/>
      <c r="L45" s="2"/>
    </row>
    <row r="46" spans="1:12" x14ac:dyDescent="0.2">
      <c r="A46" s="1" t="s">
        <v>40</v>
      </c>
      <c r="C46" s="2">
        <f>0.3*34.5%</f>
        <v>0.10349999999999999</v>
      </c>
      <c r="D46" s="2">
        <f t="shared" ref="D46:J46" si="13">0.3*34.5%</f>
        <v>0.10349999999999999</v>
      </c>
      <c r="E46" s="2">
        <f t="shared" si="13"/>
        <v>0.10349999999999999</v>
      </c>
      <c r="F46" s="2">
        <f t="shared" si="13"/>
        <v>0.10349999999999999</v>
      </c>
      <c r="G46" s="2">
        <f t="shared" si="13"/>
        <v>0.10349999999999999</v>
      </c>
      <c r="H46" s="2">
        <f t="shared" si="13"/>
        <v>0.10349999999999999</v>
      </c>
      <c r="I46" s="2">
        <f t="shared" si="13"/>
        <v>0.10349999999999999</v>
      </c>
      <c r="J46" s="2">
        <f t="shared" si="13"/>
        <v>0.10349999999999999</v>
      </c>
      <c r="K46" s="2"/>
      <c r="L46" s="2"/>
    </row>
    <row r="47" spans="1:12" x14ac:dyDescent="0.2">
      <c r="C47" s="2"/>
      <c r="D47" s="2"/>
    </row>
    <row r="48" spans="1:12" x14ac:dyDescent="0.2">
      <c r="A48" s="1" t="s">
        <v>41</v>
      </c>
      <c r="C48" s="2">
        <f>SUM(C43:C47)</f>
        <v>1.3506733671093014</v>
      </c>
      <c r="D48" s="2">
        <f t="shared" ref="D48:J48" si="14">SUM(D43:D47)</f>
        <v>1.4719665382150739</v>
      </c>
      <c r="E48" s="2">
        <f t="shared" si="14"/>
        <v>1.600029560731401</v>
      </c>
      <c r="F48" s="2">
        <f t="shared" si="14"/>
        <v>1.7348624346582824</v>
      </c>
      <c r="G48" s="2">
        <f t="shared" si="14"/>
        <v>1.9189907449902739</v>
      </c>
      <c r="H48" s="2">
        <f t="shared" si="14"/>
        <v>2.0696199388751166</v>
      </c>
      <c r="I48" s="2">
        <f t="shared" si="14"/>
        <v>2.2270189841705137</v>
      </c>
      <c r="J48" s="2">
        <f t="shared" si="14"/>
        <v>2.3911878808764659</v>
      </c>
    </row>
    <row r="49" spans="3:4" x14ac:dyDescent="0.2">
      <c r="C49" s="2"/>
      <c r="D49" s="2"/>
    </row>
    <row r="50" spans="3:4" x14ac:dyDescent="0.2">
      <c r="C50" s="2"/>
      <c r="D50" s="2"/>
    </row>
    <row r="51" spans="3:4" x14ac:dyDescent="0.2">
      <c r="C51" s="2"/>
      <c r="D51" s="2"/>
    </row>
    <row r="52" spans="3:4" x14ac:dyDescent="0.2">
      <c r="C52" s="2"/>
      <c r="D52" s="2"/>
    </row>
    <row r="53" spans="3:4" x14ac:dyDescent="0.2">
      <c r="C53" s="2"/>
      <c r="D53" s="2"/>
    </row>
    <row r="54" spans="3:4" x14ac:dyDescent="0.2">
      <c r="C54" s="2"/>
      <c r="D54" s="2"/>
    </row>
    <row r="55" spans="3:4" x14ac:dyDescent="0.2">
      <c r="C55" s="2"/>
      <c r="D55" s="2"/>
    </row>
    <row r="56" spans="3:4" x14ac:dyDescent="0.2">
      <c r="C56" s="2"/>
      <c r="D56" s="2"/>
    </row>
    <row r="57" spans="3:4" x14ac:dyDescent="0.2">
      <c r="C57" s="2"/>
      <c r="D57" s="2"/>
    </row>
    <row r="58" spans="3:4" x14ac:dyDescent="0.2">
      <c r="C58" s="2"/>
      <c r="D58" s="2"/>
    </row>
    <row r="59" spans="3:4" x14ac:dyDescent="0.2">
      <c r="C59" s="2"/>
      <c r="D59" s="2"/>
    </row>
    <row r="60" spans="3:4" x14ac:dyDescent="0.2">
      <c r="C60" s="2"/>
      <c r="D60" s="2"/>
    </row>
    <row r="61" spans="3:4" x14ac:dyDescent="0.2">
      <c r="C61" s="2"/>
      <c r="D61" s="2"/>
    </row>
    <row r="62" spans="3:4" x14ac:dyDescent="0.2">
      <c r="C62" s="2"/>
      <c r="D62" s="2"/>
    </row>
    <row r="63" spans="3:4" x14ac:dyDescent="0.2">
      <c r="C63" s="2"/>
      <c r="D63" s="2"/>
    </row>
    <row r="64" spans="3:4" x14ac:dyDescent="0.2">
      <c r="C64" s="2"/>
      <c r="D64" s="2"/>
    </row>
    <row r="65" spans="3:4" x14ac:dyDescent="0.2">
      <c r="C65" s="2"/>
      <c r="D65" s="2"/>
    </row>
    <row r="66" spans="3:4" x14ac:dyDescent="0.2">
      <c r="C66" s="2"/>
      <c r="D66" s="2"/>
    </row>
    <row r="67" spans="3:4" x14ac:dyDescent="0.2">
      <c r="C67" s="4"/>
      <c r="D67" s="4"/>
    </row>
    <row r="68" spans="3:4" x14ac:dyDescent="0.2">
      <c r="C68" s="2"/>
      <c r="D68" s="2"/>
    </row>
    <row r="69" spans="3:4" x14ac:dyDescent="0.2">
      <c r="C69" s="4"/>
      <c r="D69" s="4"/>
    </row>
    <row r="70" spans="3:4" x14ac:dyDescent="0.2">
      <c r="C70" s="2"/>
      <c r="D70" s="2"/>
    </row>
    <row r="71" spans="3:4" x14ac:dyDescent="0.2">
      <c r="C71" s="4"/>
      <c r="D71" s="4"/>
    </row>
    <row r="72" spans="3:4" x14ac:dyDescent="0.2">
      <c r="C72" s="2"/>
      <c r="D72" s="2"/>
    </row>
    <row r="73" spans="3:4" x14ac:dyDescent="0.2">
      <c r="C73" s="2"/>
      <c r="D73" s="2"/>
    </row>
  </sheetData>
  <pageMargins left="0.39370078740157483" right="0.39370078740157483" top="0.39370078740157483" bottom="0.39370078740157483" header="0.39370078740157483" footer="0.39370078740157483"/>
  <pageSetup paperSize="9" scale="91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Android</Application>
  <DocSecurity>0</DocSecurity>
  <ScaleCrop>false</ScaleCrop>
  <HeadingPairs>
    <vt:vector size="4" baseType="variant">
      <vt:variant>
        <vt:lpstr>Worksheets</vt:lpstr>
      </vt:variant>
      <vt:variant>
        <vt:i4>25</vt:i4>
      </vt:variant>
      <vt:variant>
        <vt:lpstr>Named Ranges</vt:lpstr>
      </vt:variant>
      <vt:variant>
        <vt:i4>25</vt:i4>
      </vt:variant>
    </vt:vector>
  </HeadingPairs>
  <TitlesOfParts>
    <vt:vector size="50" baseType="lpstr">
      <vt:lpstr>Shaga</vt:lpstr>
      <vt:lpstr>A Tank</vt:lpstr>
      <vt:lpstr>Gildan regular</vt:lpstr>
      <vt:lpstr>Gildan Tall</vt:lpstr>
      <vt:lpstr>Youth group Sunny</vt:lpstr>
      <vt:lpstr>Hoody Tall</vt:lpstr>
      <vt:lpstr>Hoody Big</vt:lpstr>
      <vt:lpstr>Crew Fleece Tall</vt:lpstr>
      <vt:lpstr>Crew Fleece Big</vt:lpstr>
      <vt:lpstr>Crew Tall LS</vt:lpstr>
      <vt:lpstr>Crew Tall SS</vt:lpstr>
      <vt:lpstr>Crew Big LS</vt:lpstr>
      <vt:lpstr>Crew Big SS</vt:lpstr>
      <vt:lpstr>Crew regular</vt:lpstr>
      <vt:lpstr>Shaga 60 40 OE</vt:lpstr>
      <vt:lpstr>Shaga CB 180</vt:lpstr>
      <vt:lpstr>Shaga OE 145</vt:lpstr>
      <vt:lpstr>175 White Tubular</vt:lpstr>
      <vt:lpstr>175 Black Tubular</vt:lpstr>
      <vt:lpstr>175 White Side seam</vt:lpstr>
      <vt:lpstr>175 Black side seam</vt:lpstr>
      <vt:lpstr>145 White Tubular</vt:lpstr>
      <vt:lpstr>145 Black Tubular</vt:lpstr>
      <vt:lpstr>145 White Side seam</vt:lpstr>
      <vt:lpstr>145 Black side seam</vt:lpstr>
      <vt:lpstr>145 Black side seam!Print_Area</vt:lpstr>
      <vt:lpstr>145 Black Tubular!Print_Area</vt:lpstr>
      <vt:lpstr>145 White Side seam!Print_Area</vt:lpstr>
      <vt:lpstr>145 White Tubular!Print_Area</vt:lpstr>
      <vt:lpstr>175 Black side seam!Print_Area</vt:lpstr>
      <vt:lpstr>175 Black Tubular!Print_Area</vt:lpstr>
      <vt:lpstr>175 White Side seam!Print_Area</vt:lpstr>
      <vt:lpstr>175 White Tubular!Print_Area</vt:lpstr>
      <vt:lpstr>A Tank!Print_Area</vt:lpstr>
      <vt:lpstr>Crew Big LS!Print_Area</vt:lpstr>
      <vt:lpstr>Crew Big SS!Print_Area</vt:lpstr>
      <vt:lpstr>Crew Fleece Big!Print_Area</vt:lpstr>
      <vt:lpstr>Crew Fleece Tall!Print_Area</vt:lpstr>
      <vt:lpstr>Crew regular!Print_Area</vt:lpstr>
      <vt:lpstr>Crew Tall LS!Print_Area</vt:lpstr>
      <vt:lpstr>Crew Tall SS!Print_Area</vt:lpstr>
      <vt:lpstr>Gildan regular!Print_Area</vt:lpstr>
      <vt:lpstr>Gildan Tall!Print_Area</vt:lpstr>
      <vt:lpstr>Hoody Big!Print_Area</vt:lpstr>
      <vt:lpstr>Hoody Tall!Print_Area</vt:lpstr>
      <vt:lpstr>Shaga!Print_Area</vt:lpstr>
      <vt:lpstr>Shaga 60 40 OE!Print_Area</vt:lpstr>
      <vt:lpstr>Shaga CB 180!Print_Area</vt:lpstr>
      <vt:lpstr>Shaga OE 145!Print_Area</vt:lpstr>
      <vt:lpstr>Youth group Sunny!Print_Area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Shankar</dc:creator>
  <cp:lastModifiedBy>Shankar_RRK COTTON'S</cp:lastModifiedBy>
  <cp:lastPrinted>2026-04-10T05:36:04Z</cp:lastPrinted>
  <dcterms:created xsi:type="dcterms:W3CDTF">2015-06-05T18:17:20Z</dcterms:created>
  <dcterms:modified xsi:type="dcterms:W3CDTF">2026-04-11T12:41:45Z</dcterms:modified>
</cp:coreProperties>
</file>