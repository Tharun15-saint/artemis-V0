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'\Desktop\Specs I ❤️ NY\"/>
    </mc:Choice>
  </mc:AlternateContent>
  <xr:revisionPtr revIDLastSave="0" documentId="13_ncr:1_{CC1E9E81-E1B3-452C-996B-7054CF99BBE0}" xr6:coauthVersionLast="47" xr6:coauthVersionMax="47" xr10:uidLastSave="{00000000-0000-0000-0000-000000000000}"/>
  <bookViews>
    <workbookView xWindow="-120" yWindow="-120" windowWidth="29040" windowHeight="15720" xr2:uid="{5959032D-6115-41B9-B02C-1820947328D1}"/>
  </bookViews>
  <sheets>
    <sheet name="SP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2" i="1" l="1"/>
  <c r="I23" i="1"/>
  <c r="H23" i="1"/>
  <c r="G23" i="1"/>
  <c r="E23" i="1"/>
  <c r="J18" i="1"/>
  <c r="I18" i="1"/>
  <c r="H18" i="1"/>
  <c r="G18" i="1"/>
  <c r="F18" i="1"/>
  <c r="E18" i="1"/>
  <c r="C18" i="1"/>
  <c r="H17" i="1"/>
  <c r="G17" i="1"/>
  <c r="F17" i="1"/>
  <c r="J17" i="1" s="1"/>
  <c r="E17" i="1"/>
  <c r="C17" i="1"/>
  <c r="H16" i="1"/>
  <c r="F16" i="1"/>
  <c r="D16" i="1"/>
  <c r="G15" i="1"/>
  <c r="H6" i="1"/>
  <c r="G6" i="1"/>
  <c r="F6" i="1"/>
  <c r="E6" i="1"/>
  <c r="C6" i="1"/>
  <c r="I17" i="1" l="1"/>
</calcChain>
</file>

<file path=xl/sharedStrings.xml><?xml version="1.0" encoding="utf-8"?>
<sst xmlns="http://schemas.openxmlformats.org/spreadsheetml/2006/main" count="175" uniqueCount="107">
  <si>
    <t>Specification Sheet</t>
  </si>
  <si>
    <t>BIG</t>
  </si>
  <si>
    <t>TOL.</t>
  </si>
  <si>
    <t>1XL</t>
  </si>
  <si>
    <t>2XL</t>
  </si>
  <si>
    <t>3XL</t>
  </si>
  <si>
    <t>4XL</t>
  </si>
  <si>
    <t>5XL</t>
  </si>
  <si>
    <t>6XL</t>
  </si>
  <si>
    <t>7XL</t>
  </si>
  <si>
    <t>8XL</t>
  </si>
  <si>
    <t>CHEST CIRCUMFERENCE - 1" under armhole</t>
  </si>
  <si>
    <t>1</t>
  </si>
  <si>
    <t>80</t>
  </si>
  <si>
    <t>BOTTOM OPENING CIRCUMFERENCE (relaxed - extended)</t>
  </si>
  <si>
    <t>40-52</t>
  </si>
  <si>
    <t>44-56</t>
  </si>
  <si>
    <t>48-60</t>
  </si>
  <si>
    <t>52-64</t>
  </si>
  <si>
    <t>56-68</t>
  </si>
  <si>
    <t>60-72</t>
  </si>
  <si>
    <t>64-76</t>
  </si>
  <si>
    <t>68-80</t>
  </si>
  <si>
    <t>FRONT BODY LENGTH - from HPS to bottom opening</t>
  </si>
  <si>
    <t>1/2</t>
  </si>
  <si>
    <t>31 1/2</t>
  </si>
  <si>
    <t>32 1/2</t>
  </si>
  <si>
    <t>33 1/2</t>
  </si>
  <si>
    <t>34 1/2</t>
  </si>
  <si>
    <t>35 1/2</t>
  </si>
  <si>
    <t>36 1/2</t>
  </si>
  <si>
    <t>37 1/2</t>
  </si>
  <si>
    <t>38 1/2</t>
  </si>
  <si>
    <t>1/2 ARMHOLE ALONG CURVE (SET-IN)</t>
  </si>
  <si>
    <t>12</t>
  </si>
  <si>
    <t>12 1/2</t>
  </si>
  <si>
    <t>13</t>
  </si>
  <si>
    <t xml:space="preserve"> 13 1/2</t>
  </si>
  <si>
    <t>14</t>
  </si>
  <si>
    <t>14 1/2</t>
  </si>
  <si>
    <t xml:space="preserve">15 </t>
  </si>
  <si>
    <t>15 1/2</t>
  </si>
  <si>
    <t>SLEEVE LENGTH  - from CBN</t>
  </si>
  <si>
    <t>37</t>
  </si>
  <si>
    <t>38</t>
  </si>
  <si>
    <t>39</t>
  </si>
  <si>
    <t>40</t>
  </si>
  <si>
    <t>SLEEVE OPENING - extended</t>
  </si>
  <si>
    <t>1/4</t>
  </si>
  <si>
    <t>6</t>
  </si>
  <si>
    <t>7</t>
  </si>
  <si>
    <t>SLEEVE OPENING - relaxed</t>
  </si>
  <si>
    <t>4</t>
  </si>
  <si>
    <t>5</t>
  </si>
  <si>
    <t>RIB HEIGHT FOR CUFF &amp; BOTTOM</t>
  </si>
  <si>
    <t>COLLAR RIB HEIGHT</t>
  </si>
  <si>
    <t>BACK NECK WIDTH-from seam to seam</t>
  </si>
  <si>
    <t>9 3/4</t>
  </si>
  <si>
    <t>10 3/4</t>
  </si>
  <si>
    <t>FRONT NECK DROP - from imaginary line to seam</t>
  </si>
  <si>
    <t>4 1/2</t>
  </si>
  <si>
    <t>BACK NECK DROP - from imaginary line to seam</t>
  </si>
  <si>
    <t>NECK OPENING EXTENDED - minimum</t>
  </si>
  <si>
    <t>SHOULDER WIDTH - from seam to seam</t>
  </si>
  <si>
    <t>23</t>
  </si>
  <si>
    <t>25</t>
  </si>
  <si>
    <t>27</t>
  </si>
  <si>
    <t>29</t>
  </si>
  <si>
    <t>31</t>
  </si>
  <si>
    <t>33</t>
  </si>
  <si>
    <t>35</t>
  </si>
  <si>
    <t>TALL</t>
  </si>
  <si>
    <t>MT</t>
  </si>
  <si>
    <t>LT</t>
  </si>
  <si>
    <t>XLT</t>
  </si>
  <si>
    <t>2XLT</t>
  </si>
  <si>
    <t>3XLT</t>
  </si>
  <si>
    <t>4XLT</t>
  </si>
  <si>
    <t>5XLT</t>
  </si>
  <si>
    <t>50</t>
  </si>
  <si>
    <t>BOTTOM OPENING CIRCUMFERENCE (relaxed - extended</t>
  </si>
  <si>
    <t>36-48</t>
  </si>
  <si>
    <t>38-50</t>
  </si>
  <si>
    <t>SLEEVE LENGTH FROM CBN</t>
  </si>
  <si>
    <t>39 1/2</t>
  </si>
  <si>
    <t>40 1/2</t>
  </si>
  <si>
    <t>41</t>
  </si>
  <si>
    <t>SLEEVE OPENING- extended</t>
  </si>
  <si>
    <t>5 1/2</t>
  </si>
  <si>
    <t>5 3/4</t>
  </si>
  <si>
    <t>6 1/4</t>
  </si>
  <si>
    <t>6 1/2</t>
  </si>
  <si>
    <t>6 3/4</t>
  </si>
  <si>
    <t>3 1/2</t>
  </si>
  <si>
    <t>3 3/4</t>
  </si>
  <si>
    <t>4 3/4</t>
  </si>
  <si>
    <t>2 1/2</t>
  </si>
  <si>
    <t>9 1/4</t>
  </si>
  <si>
    <t>3 1/4</t>
  </si>
  <si>
    <t>BACK NECK DROP</t>
  </si>
  <si>
    <t>1 1/4</t>
  </si>
  <si>
    <t>NECK OPENING EXTENDED (MINIMUM)</t>
  </si>
  <si>
    <t>28</t>
  </si>
  <si>
    <t>*MEASUREMENTS ARE ONLY WHEN APPLICABLE</t>
  </si>
  <si>
    <t>**SPEC IS SUBJECT TO CHANGE AFTER FIT SAMPLE SUBMISSION</t>
  </si>
  <si>
    <t xml:space="preserve">CREW NECK FLEECE KNIT TOP </t>
  </si>
  <si>
    <t>S &amp; S Fashions, Inc. Crewneck BIG and 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</si>
</sst>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4"/>
      <color rgb="FF0033CC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7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/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5" xfId="2" applyBorder="1" applyAlignment="1">
      <alignment horizontal="left" wrapText="1"/>
    </xf>
    <xf numFmtId="49" fontId="1" fillId="0" borderId="6" xfId="2" applyNumberFormat="1" applyBorder="1" applyAlignment="1">
      <alignment horizontal="center"/>
    </xf>
    <xf numFmtId="49" fontId="1" fillId="0" borderId="7" xfId="2" applyNumberFormat="1" applyBorder="1" applyAlignment="1">
      <alignment horizontal="center"/>
    </xf>
    <xf numFmtId="49" fontId="1" fillId="0" borderId="8" xfId="2" applyNumberFormat="1" applyBorder="1" applyAlignment="1">
      <alignment horizontal="center"/>
    </xf>
    <xf numFmtId="49" fontId="1" fillId="0" borderId="8" xfId="2" quotePrefix="1" applyNumberFormat="1" applyBorder="1" applyAlignment="1">
      <alignment horizontal="center"/>
    </xf>
    <xf numFmtId="49" fontId="1" fillId="0" borderId="9" xfId="2" applyNumberFormat="1" applyBorder="1" applyAlignment="1">
      <alignment horizontal="center"/>
    </xf>
    <xf numFmtId="0" fontId="1" fillId="0" borderId="10" xfId="2" applyBorder="1" applyAlignment="1">
      <alignment horizontal="left" wrapText="1"/>
    </xf>
    <xf numFmtId="49" fontId="1" fillId="0" borderId="11" xfId="2" applyNumberFormat="1" applyBorder="1" applyAlignment="1">
      <alignment horizontal="center"/>
    </xf>
    <xf numFmtId="12" fontId="1" fillId="0" borderId="12" xfId="2" applyNumberFormat="1" applyBorder="1" applyAlignment="1">
      <alignment horizontal="center"/>
    </xf>
    <xf numFmtId="12" fontId="1" fillId="0" borderId="13" xfId="2" applyNumberFormat="1" applyBorder="1" applyAlignment="1">
      <alignment horizontal="center"/>
    </xf>
    <xf numFmtId="12" fontId="1" fillId="0" borderId="13" xfId="2" quotePrefix="1" applyNumberFormat="1" applyBorder="1" applyAlignment="1">
      <alignment horizontal="center"/>
    </xf>
    <xf numFmtId="12" fontId="1" fillId="0" borderId="14" xfId="2" applyNumberFormat="1" applyBorder="1" applyAlignment="1">
      <alignment horizontal="center"/>
    </xf>
    <xf numFmtId="0" fontId="1" fillId="0" borderId="15" xfId="2" applyBorder="1" applyAlignment="1">
      <alignment horizontal="left" wrapText="1"/>
    </xf>
    <xf numFmtId="12" fontId="1" fillId="0" borderId="12" xfId="1" applyNumberFormat="1" applyBorder="1" applyAlignment="1">
      <alignment horizontal="center"/>
    </xf>
    <xf numFmtId="12" fontId="1" fillId="0" borderId="13" xfId="1" applyNumberFormat="1" applyBorder="1" applyAlignment="1">
      <alignment horizontal="center"/>
    </xf>
    <xf numFmtId="0" fontId="1" fillId="0" borderId="15" xfId="1" applyBorder="1" applyAlignment="1">
      <alignment horizontal="left" wrapText="1"/>
    </xf>
    <xf numFmtId="49" fontId="5" fillId="0" borderId="11" xfId="2" applyNumberFormat="1" applyFont="1" applyBorder="1" applyAlignment="1">
      <alignment horizontal="center"/>
    </xf>
    <xf numFmtId="12" fontId="5" fillId="0" borderId="12" xfId="1" applyNumberFormat="1" applyFont="1" applyBorder="1" applyAlignment="1">
      <alignment horizontal="center"/>
    </xf>
    <xf numFmtId="12" fontId="5" fillId="0" borderId="13" xfId="2" applyNumberFormat="1" applyFont="1" applyBorder="1" applyAlignment="1">
      <alignment horizontal="center"/>
    </xf>
    <xf numFmtId="12" fontId="5" fillId="0" borderId="13" xfId="1" applyNumberFormat="1" applyFont="1" applyBorder="1" applyAlignment="1">
      <alignment horizontal="center"/>
    </xf>
    <xf numFmtId="12" fontId="5" fillId="0" borderId="14" xfId="2" applyNumberFormat="1" applyFont="1" applyBorder="1" applyAlignment="1">
      <alignment horizontal="center"/>
    </xf>
    <xf numFmtId="0" fontId="1" fillId="0" borderId="15" xfId="1" applyBorder="1" applyAlignment="1">
      <alignment horizontal="left"/>
    </xf>
    <xf numFmtId="12" fontId="5" fillId="0" borderId="12" xfId="2" applyNumberFormat="1" applyFont="1" applyBorder="1" applyAlignment="1">
      <alignment horizontal="center"/>
    </xf>
    <xf numFmtId="12" fontId="5" fillId="0" borderId="12" xfId="2" quotePrefix="1" applyNumberFormat="1" applyFont="1" applyBorder="1" applyAlignment="1">
      <alignment horizontal="center"/>
    </xf>
    <xf numFmtId="12" fontId="5" fillId="0" borderId="13" xfId="2" quotePrefix="1" applyNumberFormat="1" applyFont="1" applyBorder="1" applyAlignment="1">
      <alignment horizontal="center"/>
    </xf>
    <xf numFmtId="49" fontId="5" fillId="0" borderId="13" xfId="2" quotePrefix="1" applyNumberFormat="1" applyFont="1" applyBorder="1" applyAlignment="1">
      <alignment horizontal="center"/>
    </xf>
    <xf numFmtId="12" fontId="5" fillId="0" borderId="14" xfId="2" quotePrefix="1" applyNumberFormat="1" applyFont="1" applyBorder="1" applyAlignment="1">
      <alignment horizontal="center"/>
    </xf>
    <xf numFmtId="49" fontId="5" fillId="0" borderId="13" xfId="2" applyNumberFormat="1" applyFont="1" applyBorder="1" applyAlignment="1">
      <alignment horizontal="center"/>
    </xf>
    <xf numFmtId="49" fontId="5" fillId="0" borderId="12" xfId="2" quotePrefix="1" applyNumberFormat="1" applyFont="1" applyBorder="1" applyAlignment="1">
      <alignment horizontal="center"/>
    </xf>
    <xf numFmtId="49" fontId="5" fillId="0" borderId="14" xfId="2" quotePrefix="1" applyNumberFormat="1" applyFont="1" applyBorder="1" applyAlignment="1">
      <alignment horizontal="center"/>
    </xf>
    <xf numFmtId="0" fontId="1" fillId="0" borderId="16" xfId="2" applyBorder="1" applyAlignment="1">
      <alignment horizontal="left" wrapText="1"/>
    </xf>
    <xf numFmtId="49" fontId="5" fillId="0" borderId="17" xfId="2" applyNumberFormat="1" applyFont="1" applyBorder="1" applyAlignment="1">
      <alignment horizontal="center"/>
    </xf>
    <xf numFmtId="49" fontId="1" fillId="0" borderId="18" xfId="1" applyNumberFormat="1" applyBorder="1" applyAlignment="1">
      <alignment horizontal="center"/>
    </xf>
    <xf numFmtId="49" fontId="1" fillId="0" borderId="19" xfId="1" applyNumberFormat="1" applyBorder="1" applyAlignment="1">
      <alignment horizontal="center"/>
    </xf>
    <xf numFmtId="49" fontId="5" fillId="0" borderId="19" xfId="2" applyNumberFormat="1" applyFont="1" applyBorder="1" applyAlignment="1">
      <alignment horizontal="center"/>
    </xf>
    <xf numFmtId="49" fontId="5" fillId="0" borderId="20" xfId="2" applyNumberFormat="1" applyFont="1" applyBorder="1" applyAlignment="1">
      <alignment horizontal="center"/>
    </xf>
    <xf numFmtId="0" fontId="1" fillId="0" borderId="0" xfId="1" applyAlignment="1">
      <alignment vertical="center" wrapText="1"/>
    </xf>
    <xf numFmtId="49" fontId="1" fillId="0" borderId="0" xfId="1" applyNumberForma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1" fillId="0" borderId="10" xfId="1" applyBorder="1" applyAlignment="1">
      <alignment horizontal="left" wrapText="1"/>
    </xf>
    <xf numFmtId="12" fontId="1" fillId="0" borderId="23" xfId="2" applyNumberFormat="1" applyBorder="1" applyAlignment="1">
      <alignment horizontal="center"/>
    </xf>
    <xf numFmtId="49" fontId="1" fillId="0" borderId="7" xfId="1" applyNumberFormat="1" applyBorder="1" applyAlignment="1">
      <alignment horizontal="center" wrapText="1"/>
    </xf>
    <xf numFmtId="49" fontId="1" fillId="0" borderId="8" xfId="1" applyNumberFormat="1" applyBorder="1" applyAlignment="1">
      <alignment horizontal="center"/>
    </xf>
    <xf numFmtId="49" fontId="1" fillId="0" borderId="9" xfId="2" quotePrefix="1" applyNumberFormat="1" applyBorder="1" applyAlignment="1">
      <alignment horizontal="center"/>
    </xf>
    <xf numFmtId="12" fontId="1" fillId="0" borderId="11" xfId="2" applyNumberFormat="1" applyBorder="1" applyAlignment="1">
      <alignment horizontal="center"/>
    </xf>
    <xf numFmtId="49" fontId="1" fillId="0" borderId="12" xfId="1" applyNumberFormat="1" applyBorder="1" applyAlignment="1">
      <alignment horizontal="center" wrapText="1"/>
    </xf>
    <xf numFmtId="49" fontId="1" fillId="0" borderId="13" xfId="1" applyNumberFormat="1" applyBorder="1" applyAlignment="1">
      <alignment horizontal="center"/>
    </xf>
    <xf numFmtId="49" fontId="1" fillId="0" borderId="13" xfId="2" applyNumberFormat="1" applyBorder="1" applyAlignment="1">
      <alignment horizontal="center"/>
    </xf>
    <xf numFmtId="49" fontId="1" fillId="0" borderId="13" xfId="2" quotePrefix="1" applyNumberFormat="1" applyBorder="1" applyAlignment="1">
      <alignment horizontal="center"/>
    </xf>
    <xf numFmtId="49" fontId="1" fillId="0" borderId="14" xfId="2" quotePrefix="1" applyNumberFormat="1" applyBorder="1" applyAlignment="1">
      <alignment horizontal="center"/>
    </xf>
    <xf numFmtId="12" fontId="1" fillId="0" borderId="12" xfId="1" applyNumberFormat="1" applyBorder="1" applyAlignment="1">
      <alignment horizontal="center" wrapText="1"/>
    </xf>
    <xf numFmtId="49" fontId="1" fillId="0" borderId="14" xfId="1" applyNumberFormat="1" applyBorder="1" applyAlignment="1">
      <alignment horizontal="center"/>
    </xf>
    <xf numFmtId="49" fontId="5" fillId="0" borderId="13" xfId="1" applyNumberFormat="1" applyFont="1" applyBorder="1" applyAlignment="1">
      <alignment horizontal="center"/>
    </xf>
    <xf numFmtId="49" fontId="5" fillId="0" borderId="14" xfId="1" applyNumberFormat="1" applyFont="1" applyBorder="1" applyAlignment="1">
      <alignment horizontal="center"/>
    </xf>
    <xf numFmtId="12" fontId="1" fillId="0" borderId="13" xfId="1" applyNumberFormat="1" applyBorder="1" applyAlignment="1">
      <alignment horizontal="center" wrapText="1"/>
    </xf>
    <xf numFmtId="12" fontId="5" fillId="0" borderId="13" xfId="1" applyNumberFormat="1" applyFont="1" applyBorder="1" applyAlignment="1">
      <alignment horizontal="center" wrapText="1"/>
    </xf>
    <xf numFmtId="12" fontId="5" fillId="0" borderId="14" xfId="1" applyNumberFormat="1" applyFont="1" applyBorder="1" applyAlignment="1">
      <alignment horizontal="center" wrapText="1"/>
    </xf>
    <xf numFmtId="12" fontId="1" fillId="0" borderId="24" xfId="1" applyNumberFormat="1" applyBorder="1" applyAlignment="1">
      <alignment horizontal="center" wrapText="1"/>
    </xf>
    <xf numFmtId="12" fontId="5" fillId="0" borderId="14" xfId="1" applyNumberFormat="1" applyFont="1" applyBorder="1" applyAlignment="1">
      <alignment horizontal="center"/>
    </xf>
    <xf numFmtId="49" fontId="1" fillId="0" borderId="12" xfId="1" applyNumberFormat="1" applyBorder="1" applyAlignment="1">
      <alignment horizontal="center"/>
    </xf>
    <xf numFmtId="0" fontId="1" fillId="0" borderId="16" xfId="1" applyBorder="1" applyAlignment="1">
      <alignment horizontal="left" wrapText="1"/>
    </xf>
    <xf numFmtId="12" fontId="1" fillId="0" borderId="17" xfId="2" applyNumberFormat="1" applyBorder="1" applyAlignment="1">
      <alignment horizontal="center"/>
    </xf>
    <xf numFmtId="12" fontId="1" fillId="0" borderId="25" xfId="1" applyNumberFormat="1" applyBorder="1" applyAlignment="1">
      <alignment horizontal="center" wrapText="1"/>
    </xf>
    <xf numFmtId="12" fontId="1" fillId="0" borderId="18" xfId="1" applyNumberFormat="1" applyBorder="1" applyAlignment="1">
      <alignment horizontal="center" wrapText="1"/>
    </xf>
    <xf numFmtId="49" fontId="1" fillId="0" borderId="20" xfId="1" applyNumberFormat="1" applyBorder="1" applyAlignment="1">
      <alignment horizontal="center"/>
    </xf>
    <xf numFmtId="0" fontId="5" fillId="0" borderId="0" xfId="1" applyFont="1"/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0" fontId="6" fillId="0" borderId="0" xfId="1" applyFont="1"/>
    <xf numFmtId="0" fontId="3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7" fillId="0" borderId="0" xfId="1" applyFont="1"/>
  </cellXfs>
  <cellStyles count="3">
    <cellStyle name="Normal" xfId="0" builtinId="0"/>
    <cellStyle name="Normal 2" xfId="1" xr:uid="{23827E7C-EF15-4ACD-9772-9091E65B3F19}"/>
    <cellStyle name="Normal_B &amp; T short sleeve crew tee" xfId="2" xr:uid="{A5B1C58D-B522-4F9F-9469-024F1FD0DBAA}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B42A-1B08-4F0F-9367-859F9F8E87FC}">
  <sheetPr>
    <pageSetUpPr fitToPage="1"/>
  </sheetPr>
  <dimension ref="A1:J41"/>
  <sheetViews>
    <sheetView tabSelected="1" zoomScaleNormal="100" workbookViewId="0"/>
  </sheetViews>
  <sheetFormatPr defaultColWidth="8.85546875" defaultRowHeight="12.75" x14ac:dyDescent="0.2"/>
  <cols>
    <col min="1" max="1" width="54.28515625" style="1" customWidth="1"/>
    <col min="2" max="2" width="7.5703125" style="1" customWidth="1"/>
    <col min="3" max="10" width="10.7109375" style="1" customWidth="1"/>
    <col min="11" max="256" width="8.85546875" style="1"/>
    <col min="257" max="257" width="50.85546875" style="1" customWidth="1"/>
    <col min="258" max="258" width="4.85546875" style="1" customWidth="1"/>
    <col min="259" max="266" width="10.7109375" style="1" customWidth="1"/>
    <col min="267" max="512" width="8.85546875" style="1"/>
    <col min="513" max="513" width="50.85546875" style="1" customWidth="1"/>
    <col min="514" max="514" width="4.85546875" style="1" customWidth="1"/>
    <col min="515" max="522" width="10.7109375" style="1" customWidth="1"/>
    <col min="523" max="768" width="8.85546875" style="1"/>
    <col min="769" max="769" width="50.85546875" style="1" customWidth="1"/>
    <col min="770" max="770" width="4.85546875" style="1" customWidth="1"/>
    <col min="771" max="778" width="10.7109375" style="1" customWidth="1"/>
    <col min="779" max="1024" width="8.85546875" style="1"/>
    <col min="1025" max="1025" width="50.85546875" style="1" customWidth="1"/>
    <col min="1026" max="1026" width="4.85546875" style="1" customWidth="1"/>
    <col min="1027" max="1034" width="10.7109375" style="1" customWidth="1"/>
    <col min="1035" max="1280" width="8.85546875" style="1"/>
    <col min="1281" max="1281" width="50.85546875" style="1" customWidth="1"/>
    <col min="1282" max="1282" width="4.85546875" style="1" customWidth="1"/>
    <col min="1283" max="1290" width="10.7109375" style="1" customWidth="1"/>
    <col min="1291" max="1536" width="8.85546875" style="1"/>
    <col min="1537" max="1537" width="50.85546875" style="1" customWidth="1"/>
    <col min="1538" max="1538" width="4.85546875" style="1" customWidth="1"/>
    <col min="1539" max="1546" width="10.7109375" style="1" customWidth="1"/>
    <col min="1547" max="1792" width="8.85546875" style="1"/>
    <col min="1793" max="1793" width="50.85546875" style="1" customWidth="1"/>
    <col min="1794" max="1794" width="4.85546875" style="1" customWidth="1"/>
    <col min="1795" max="1802" width="10.7109375" style="1" customWidth="1"/>
    <col min="1803" max="2048" width="8.85546875" style="1"/>
    <col min="2049" max="2049" width="50.85546875" style="1" customWidth="1"/>
    <col min="2050" max="2050" width="4.85546875" style="1" customWidth="1"/>
    <col min="2051" max="2058" width="10.7109375" style="1" customWidth="1"/>
    <col min="2059" max="2304" width="8.85546875" style="1"/>
    <col min="2305" max="2305" width="50.85546875" style="1" customWidth="1"/>
    <col min="2306" max="2306" width="4.85546875" style="1" customWidth="1"/>
    <col min="2307" max="2314" width="10.7109375" style="1" customWidth="1"/>
    <col min="2315" max="2560" width="8.85546875" style="1"/>
    <col min="2561" max="2561" width="50.85546875" style="1" customWidth="1"/>
    <col min="2562" max="2562" width="4.85546875" style="1" customWidth="1"/>
    <col min="2563" max="2570" width="10.7109375" style="1" customWidth="1"/>
    <col min="2571" max="2816" width="8.85546875" style="1"/>
    <col min="2817" max="2817" width="50.85546875" style="1" customWidth="1"/>
    <col min="2818" max="2818" width="4.85546875" style="1" customWidth="1"/>
    <col min="2819" max="2826" width="10.7109375" style="1" customWidth="1"/>
    <col min="2827" max="3072" width="8.85546875" style="1"/>
    <col min="3073" max="3073" width="50.85546875" style="1" customWidth="1"/>
    <col min="3074" max="3074" width="4.85546875" style="1" customWidth="1"/>
    <col min="3075" max="3082" width="10.7109375" style="1" customWidth="1"/>
    <col min="3083" max="3328" width="8.85546875" style="1"/>
    <col min="3329" max="3329" width="50.85546875" style="1" customWidth="1"/>
    <col min="3330" max="3330" width="4.85546875" style="1" customWidth="1"/>
    <col min="3331" max="3338" width="10.7109375" style="1" customWidth="1"/>
    <col min="3339" max="3584" width="8.85546875" style="1"/>
    <col min="3585" max="3585" width="50.85546875" style="1" customWidth="1"/>
    <col min="3586" max="3586" width="4.85546875" style="1" customWidth="1"/>
    <col min="3587" max="3594" width="10.7109375" style="1" customWidth="1"/>
    <col min="3595" max="3840" width="8.85546875" style="1"/>
    <col min="3841" max="3841" width="50.85546875" style="1" customWidth="1"/>
    <col min="3842" max="3842" width="4.85546875" style="1" customWidth="1"/>
    <col min="3843" max="3850" width="10.7109375" style="1" customWidth="1"/>
    <col min="3851" max="4096" width="8.85546875" style="1"/>
    <col min="4097" max="4097" width="50.85546875" style="1" customWidth="1"/>
    <col min="4098" max="4098" width="4.85546875" style="1" customWidth="1"/>
    <col min="4099" max="4106" width="10.7109375" style="1" customWidth="1"/>
    <col min="4107" max="4352" width="8.85546875" style="1"/>
    <col min="4353" max="4353" width="50.85546875" style="1" customWidth="1"/>
    <col min="4354" max="4354" width="4.85546875" style="1" customWidth="1"/>
    <col min="4355" max="4362" width="10.7109375" style="1" customWidth="1"/>
    <col min="4363" max="4608" width="8.85546875" style="1"/>
    <col min="4609" max="4609" width="50.85546875" style="1" customWidth="1"/>
    <col min="4610" max="4610" width="4.85546875" style="1" customWidth="1"/>
    <col min="4611" max="4618" width="10.7109375" style="1" customWidth="1"/>
    <col min="4619" max="4864" width="8.85546875" style="1"/>
    <col min="4865" max="4865" width="50.85546875" style="1" customWidth="1"/>
    <col min="4866" max="4866" width="4.85546875" style="1" customWidth="1"/>
    <col min="4867" max="4874" width="10.7109375" style="1" customWidth="1"/>
    <col min="4875" max="5120" width="8.85546875" style="1"/>
    <col min="5121" max="5121" width="50.85546875" style="1" customWidth="1"/>
    <col min="5122" max="5122" width="4.85546875" style="1" customWidth="1"/>
    <col min="5123" max="5130" width="10.7109375" style="1" customWidth="1"/>
    <col min="5131" max="5376" width="8.85546875" style="1"/>
    <col min="5377" max="5377" width="50.85546875" style="1" customWidth="1"/>
    <col min="5378" max="5378" width="4.85546875" style="1" customWidth="1"/>
    <col min="5379" max="5386" width="10.7109375" style="1" customWidth="1"/>
    <col min="5387" max="5632" width="8.85546875" style="1"/>
    <col min="5633" max="5633" width="50.85546875" style="1" customWidth="1"/>
    <col min="5634" max="5634" width="4.85546875" style="1" customWidth="1"/>
    <col min="5635" max="5642" width="10.7109375" style="1" customWidth="1"/>
    <col min="5643" max="5888" width="8.85546875" style="1"/>
    <col min="5889" max="5889" width="50.85546875" style="1" customWidth="1"/>
    <col min="5890" max="5890" width="4.85546875" style="1" customWidth="1"/>
    <col min="5891" max="5898" width="10.7109375" style="1" customWidth="1"/>
    <col min="5899" max="6144" width="8.85546875" style="1"/>
    <col min="6145" max="6145" width="50.85546875" style="1" customWidth="1"/>
    <col min="6146" max="6146" width="4.85546875" style="1" customWidth="1"/>
    <col min="6147" max="6154" width="10.7109375" style="1" customWidth="1"/>
    <col min="6155" max="6400" width="8.85546875" style="1"/>
    <col min="6401" max="6401" width="50.85546875" style="1" customWidth="1"/>
    <col min="6402" max="6402" width="4.85546875" style="1" customWidth="1"/>
    <col min="6403" max="6410" width="10.7109375" style="1" customWidth="1"/>
    <col min="6411" max="6656" width="8.85546875" style="1"/>
    <col min="6657" max="6657" width="50.85546875" style="1" customWidth="1"/>
    <col min="6658" max="6658" width="4.85546875" style="1" customWidth="1"/>
    <col min="6659" max="6666" width="10.7109375" style="1" customWidth="1"/>
    <col min="6667" max="6912" width="8.85546875" style="1"/>
    <col min="6913" max="6913" width="50.85546875" style="1" customWidth="1"/>
    <col min="6914" max="6914" width="4.85546875" style="1" customWidth="1"/>
    <col min="6915" max="6922" width="10.7109375" style="1" customWidth="1"/>
    <col min="6923" max="7168" width="8.85546875" style="1"/>
    <col min="7169" max="7169" width="50.85546875" style="1" customWidth="1"/>
    <col min="7170" max="7170" width="4.85546875" style="1" customWidth="1"/>
    <col min="7171" max="7178" width="10.7109375" style="1" customWidth="1"/>
    <col min="7179" max="7424" width="8.85546875" style="1"/>
    <col min="7425" max="7425" width="50.85546875" style="1" customWidth="1"/>
    <col min="7426" max="7426" width="4.85546875" style="1" customWidth="1"/>
    <col min="7427" max="7434" width="10.7109375" style="1" customWidth="1"/>
    <col min="7435" max="7680" width="8.85546875" style="1"/>
    <col min="7681" max="7681" width="50.85546875" style="1" customWidth="1"/>
    <col min="7682" max="7682" width="4.85546875" style="1" customWidth="1"/>
    <col min="7683" max="7690" width="10.7109375" style="1" customWidth="1"/>
    <col min="7691" max="7936" width="8.85546875" style="1"/>
    <col min="7937" max="7937" width="50.85546875" style="1" customWidth="1"/>
    <col min="7938" max="7938" width="4.85546875" style="1" customWidth="1"/>
    <col min="7939" max="7946" width="10.7109375" style="1" customWidth="1"/>
    <col min="7947" max="8192" width="8.85546875" style="1"/>
    <col min="8193" max="8193" width="50.85546875" style="1" customWidth="1"/>
    <col min="8194" max="8194" width="4.85546875" style="1" customWidth="1"/>
    <col min="8195" max="8202" width="10.7109375" style="1" customWidth="1"/>
    <col min="8203" max="8448" width="8.85546875" style="1"/>
    <col min="8449" max="8449" width="50.85546875" style="1" customWidth="1"/>
    <col min="8450" max="8450" width="4.85546875" style="1" customWidth="1"/>
    <col min="8451" max="8458" width="10.7109375" style="1" customWidth="1"/>
    <col min="8459" max="8704" width="8.85546875" style="1"/>
    <col min="8705" max="8705" width="50.85546875" style="1" customWidth="1"/>
    <col min="8706" max="8706" width="4.85546875" style="1" customWidth="1"/>
    <col min="8707" max="8714" width="10.7109375" style="1" customWidth="1"/>
    <col min="8715" max="8960" width="8.85546875" style="1"/>
    <col min="8961" max="8961" width="50.85546875" style="1" customWidth="1"/>
    <col min="8962" max="8962" width="4.85546875" style="1" customWidth="1"/>
    <col min="8963" max="8970" width="10.7109375" style="1" customWidth="1"/>
    <col min="8971" max="9216" width="8.85546875" style="1"/>
    <col min="9217" max="9217" width="50.85546875" style="1" customWidth="1"/>
    <col min="9218" max="9218" width="4.85546875" style="1" customWidth="1"/>
    <col min="9219" max="9226" width="10.7109375" style="1" customWidth="1"/>
    <col min="9227" max="9472" width="8.85546875" style="1"/>
    <col min="9473" max="9473" width="50.85546875" style="1" customWidth="1"/>
    <col min="9474" max="9474" width="4.85546875" style="1" customWidth="1"/>
    <col min="9475" max="9482" width="10.7109375" style="1" customWidth="1"/>
    <col min="9483" max="9728" width="8.85546875" style="1"/>
    <col min="9729" max="9729" width="50.85546875" style="1" customWidth="1"/>
    <col min="9730" max="9730" width="4.85546875" style="1" customWidth="1"/>
    <col min="9731" max="9738" width="10.7109375" style="1" customWidth="1"/>
    <col min="9739" max="9984" width="8.85546875" style="1"/>
    <col min="9985" max="9985" width="50.85546875" style="1" customWidth="1"/>
    <col min="9986" max="9986" width="4.85546875" style="1" customWidth="1"/>
    <col min="9987" max="9994" width="10.7109375" style="1" customWidth="1"/>
    <col min="9995" max="10240" width="8.85546875" style="1"/>
    <col min="10241" max="10241" width="50.85546875" style="1" customWidth="1"/>
    <col min="10242" max="10242" width="4.85546875" style="1" customWidth="1"/>
    <col min="10243" max="10250" width="10.7109375" style="1" customWidth="1"/>
    <col min="10251" max="10496" width="8.85546875" style="1"/>
    <col min="10497" max="10497" width="50.85546875" style="1" customWidth="1"/>
    <col min="10498" max="10498" width="4.85546875" style="1" customWidth="1"/>
    <col min="10499" max="10506" width="10.7109375" style="1" customWidth="1"/>
    <col min="10507" max="10752" width="8.85546875" style="1"/>
    <col min="10753" max="10753" width="50.85546875" style="1" customWidth="1"/>
    <col min="10754" max="10754" width="4.85546875" style="1" customWidth="1"/>
    <col min="10755" max="10762" width="10.7109375" style="1" customWidth="1"/>
    <col min="10763" max="11008" width="8.85546875" style="1"/>
    <col min="11009" max="11009" width="50.85546875" style="1" customWidth="1"/>
    <col min="11010" max="11010" width="4.85546875" style="1" customWidth="1"/>
    <col min="11011" max="11018" width="10.7109375" style="1" customWidth="1"/>
    <col min="11019" max="11264" width="8.85546875" style="1"/>
    <col min="11265" max="11265" width="50.85546875" style="1" customWidth="1"/>
    <col min="11266" max="11266" width="4.85546875" style="1" customWidth="1"/>
    <col min="11267" max="11274" width="10.7109375" style="1" customWidth="1"/>
    <col min="11275" max="11520" width="8.85546875" style="1"/>
    <col min="11521" max="11521" width="50.85546875" style="1" customWidth="1"/>
    <col min="11522" max="11522" width="4.85546875" style="1" customWidth="1"/>
    <col min="11523" max="11530" width="10.7109375" style="1" customWidth="1"/>
    <col min="11531" max="11776" width="8.85546875" style="1"/>
    <col min="11777" max="11777" width="50.85546875" style="1" customWidth="1"/>
    <col min="11778" max="11778" width="4.85546875" style="1" customWidth="1"/>
    <col min="11779" max="11786" width="10.7109375" style="1" customWidth="1"/>
    <col min="11787" max="12032" width="8.85546875" style="1"/>
    <col min="12033" max="12033" width="50.85546875" style="1" customWidth="1"/>
    <col min="12034" max="12034" width="4.85546875" style="1" customWidth="1"/>
    <col min="12035" max="12042" width="10.7109375" style="1" customWidth="1"/>
    <col min="12043" max="12288" width="8.85546875" style="1"/>
    <col min="12289" max="12289" width="50.85546875" style="1" customWidth="1"/>
    <col min="12290" max="12290" width="4.85546875" style="1" customWidth="1"/>
    <col min="12291" max="12298" width="10.7109375" style="1" customWidth="1"/>
    <col min="12299" max="12544" width="8.85546875" style="1"/>
    <col min="12545" max="12545" width="50.85546875" style="1" customWidth="1"/>
    <col min="12546" max="12546" width="4.85546875" style="1" customWidth="1"/>
    <col min="12547" max="12554" width="10.7109375" style="1" customWidth="1"/>
    <col min="12555" max="12800" width="8.85546875" style="1"/>
    <col min="12801" max="12801" width="50.85546875" style="1" customWidth="1"/>
    <col min="12802" max="12802" width="4.85546875" style="1" customWidth="1"/>
    <col min="12803" max="12810" width="10.7109375" style="1" customWidth="1"/>
    <col min="12811" max="13056" width="8.85546875" style="1"/>
    <col min="13057" max="13057" width="50.85546875" style="1" customWidth="1"/>
    <col min="13058" max="13058" width="4.85546875" style="1" customWidth="1"/>
    <col min="13059" max="13066" width="10.7109375" style="1" customWidth="1"/>
    <col min="13067" max="13312" width="8.85546875" style="1"/>
    <col min="13313" max="13313" width="50.85546875" style="1" customWidth="1"/>
    <col min="13314" max="13314" width="4.85546875" style="1" customWidth="1"/>
    <col min="13315" max="13322" width="10.7109375" style="1" customWidth="1"/>
    <col min="13323" max="13568" width="8.85546875" style="1"/>
    <col min="13569" max="13569" width="50.85546875" style="1" customWidth="1"/>
    <col min="13570" max="13570" width="4.85546875" style="1" customWidth="1"/>
    <col min="13571" max="13578" width="10.7109375" style="1" customWidth="1"/>
    <col min="13579" max="13824" width="8.85546875" style="1"/>
    <col min="13825" max="13825" width="50.85546875" style="1" customWidth="1"/>
    <col min="13826" max="13826" width="4.85546875" style="1" customWidth="1"/>
    <col min="13827" max="13834" width="10.7109375" style="1" customWidth="1"/>
    <col min="13835" max="14080" width="8.85546875" style="1"/>
    <col min="14081" max="14081" width="50.85546875" style="1" customWidth="1"/>
    <col min="14082" max="14082" width="4.85546875" style="1" customWidth="1"/>
    <col min="14083" max="14090" width="10.7109375" style="1" customWidth="1"/>
    <col min="14091" max="14336" width="8.85546875" style="1"/>
    <col min="14337" max="14337" width="50.85546875" style="1" customWidth="1"/>
    <col min="14338" max="14338" width="4.85546875" style="1" customWidth="1"/>
    <col min="14339" max="14346" width="10.7109375" style="1" customWidth="1"/>
    <col min="14347" max="14592" width="8.85546875" style="1"/>
    <col min="14593" max="14593" width="50.85546875" style="1" customWidth="1"/>
    <col min="14594" max="14594" width="4.85546875" style="1" customWidth="1"/>
    <col min="14595" max="14602" width="10.7109375" style="1" customWidth="1"/>
    <col min="14603" max="14848" width="8.85546875" style="1"/>
    <col min="14849" max="14849" width="50.85546875" style="1" customWidth="1"/>
    <col min="14850" max="14850" width="4.85546875" style="1" customWidth="1"/>
    <col min="14851" max="14858" width="10.7109375" style="1" customWidth="1"/>
    <col min="14859" max="15104" width="8.85546875" style="1"/>
    <col min="15105" max="15105" width="50.85546875" style="1" customWidth="1"/>
    <col min="15106" max="15106" width="4.85546875" style="1" customWidth="1"/>
    <col min="15107" max="15114" width="10.7109375" style="1" customWidth="1"/>
    <col min="15115" max="15360" width="8.85546875" style="1"/>
    <col min="15361" max="15361" width="50.85546875" style="1" customWidth="1"/>
    <col min="15362" max="15362" width="4.85546875" style="1" customWidth="1"/>
    <col min="15363" max="15370" width="10.7109375" style="1" customWidth="1"/>
    <col min="15371" max="15616" width="8.85546875" style="1"/>
    <col min="15617" max="15617" width="50.85546875" style="1" customWidth="1"/>
    <col min="15618" max="15618" width="4.85546875" style="1" customWidth="1"/>
    <col min="15619" max="15626" width="10.7109375" style="1" customWidth="1"/>
    <col min="15627" max="15872" width="8.85546875" style="1"/>
    <col min="15873" max="15873" width="50.85546875" style="1" customWidth="1"/>
    <col min="15874" max="15874" width="4.85546875" style="1" customWidth="1"/>
    <col min="15875" max="15882" width="10.7109375" style="1" customWidth="1"/>
    <col min="15883" max="16128" width="8.85546875" style="1"/>
    <col min="16129" max="16129" width="50.85546875" style="1" customWidth="1"/>
    <col min="16130" max="16130" width="4.85546875" style="1" customWidth="1"/>
    <col min="16131" max="16138" width="10.7109375" style="1" customWidth="1"/>
    <col min="16139" max="16384" width="8.85546875" style="1"/>
  </cols>
  <sheetData>
    <row r="1" spans="1:10" ht="18.75" customHeight="1" x14ac:dyDescent="0.25">
      <c r="A1" s="86" t="s">
        <v>106</v>
      </c>
      <c r="B1" s="2"/>
      <c r="C1" s="2"/>
    </row>
    <row r="2" spans="1:10" ht="18" x14ac:dyDescent="0.25">
      <c r="B2" s="84" t="s">
        <v>105</v>
      </c>
      <c r="C2" s="3"/>
    </row>
    <row r="3" spans="1:10" x14ac:dyDescent="0.2">
      <c r="B3" s="85"/>
      <c r="C3" s="4"/>
      <c r="D3" s="85" t="s">
        <v>0</v>
      </c>
    </row>
    <row r="4" spans="1:10" ht="13.5" thickBot="1" x14ac:dyDescent="0.25">
      <c r="A4" s="5"/>
    </row>
    <row r="5" spans="1:10" s="10" customFormat="1" ht="19.5" customHeight="1" thickBot="1" x14ac:dyDescent="0.3">
      <c r="A5" s="6" t="s">
        <v>1</v>
      </c>
      <c r="B5" s="6" t="s">
        <v>2</v>
      </c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9" t="s">
        <v>10</v>
      </c>
    </row>
    <row r="6" spans="1:10" ht="19.149999999999999" customHeight="1" x14ac:dyDescent="0.2">
      <c r="A6" s="11" t="s">
        <v>11</v>
      </c>
      <c r="B6" s="12" t="s">
        <v>12</v>
      </c>
      <c r="C6" s="13">
        <f>D6-4</f>
        <v>52</v>
      </c>
      <c r="D6" s="14">
        <v>56</v>
      </c>
      <c r="E6" s="15">
        <f>D6+4</f>
        <v>60</v>
      </c>
      <c r="F6" s="15">
        <f>D6+8</f>
        <v>64</v>
      </c>
      <c r="G6" s="15">
        <f>D6+12</f>
        <v>68</v>
      </c>
      <c r="H6" s="15">
        <f>D6+16</f>
        <v>72</v>
      </c>
      <c r="I6" s="14">
        <v>76</v>
      </c>
      <c r="J6" s="16" t="s">
        <v>13</v>
      </c>
    </row>
    <row r="7" spans="1:10" ht="18.75" customHeight="1" x14ac:dyDescent="0.2">
      <c r="A7" s="17" t="s">
        <v>14</v>
      </c>
      <c r="B7" s="18" t="s">
        <v>12</v>
      </c>
      <c r="C7" s="19" t="s">
        <v>15</v>
      </c>
      <c r="D7" s="20" t="s">
        <v>16</v>
      </c>
      <c r="E7" s="21" t="s">
        <v>17</v>
      </c>
      <c r="F7" s="21" t="s">
        <v>18</v>
      </c>
      <c r="G7" s="21" t="s">
        <v>19</v>
      </c>
      <c r="H7" s="21" t="s">
        <v>20</v>
      </c>
      <c r="I7" s="20" t="s">
        <v>21</v>
      </c>
      <c r="J7" s="22" t="s">
        <v>22</v>
      </c>
    </row>
    <row r="8" spans="1:10" ht="19.149999999999999" customHeight="1" x14ac:dyDescent="0.2">
      <c r="A8" s="23" t="s">
        <v>23</v>
      </c>
      <c r="B8" s="18" t="s">
        <v>24</v>
      </c>
      <c r="C8" s="24" t="s">
        <v>25</v>
      </c>
      <c r="D8" s="25" t="s">
        <v>26</v>
      </c>
      <c r="E8" s="25" t="s">
        <v>27</v>
      </c>
      <c r="F8" s="25" t="s">
        <v>28</v>
      </c>
      <c r="G8" s="25" t="s">
        <v>29</v>
      </c>
      <c r="H8" s="25" t="s">
        <v>30</v>
      </c>
      <c r="I8" s="20" t="s">
        <v>31</v>
      </c>
      <c r="J8" s="22" t="s">
        <v>32</v>
      </c>
    </row>
    <row r="9" spans="1:10" ht="19.149999999999999" customHeight="1" x14ac:dyDescent="0.2">
      <c r="A9" s="23" t="s">
        <v>33</v>
      </c>
      <c r="B9" s="18" t="s">
        <v>24</v>
      </c>
      <c r="C9" s="19" t="s">
        <v>34</v>
      </c>
      <c r="D9" s="20" t="s">
        <v>35</v>
      </c>
      <c r="E9" s="20" t="s">
        <v>36</v>
      </c>
      <c r="F9" s="20" t="s">
        <v>37</v>
      </c>
      <c r="G9" s="20" t="s">
        <v>38</v>
      </c>
      <c r="H9" s="20" t="s">
        <v>39</v>
      </c>
      <c r="I9" s="20" t="s">
        <v>40</v>
      </c>
      <c r="J9" s="22" t="s">
        <v>41</v>
      </c>
    </row>
    <row r="10" spans="1:10" ht="19.149999999999999" customHeight="1" x14ac:dyDescent="0.2">
      <c r="A10" s="23" t="s">
        <v>42</v>
      </c>
      <c r="B10" s="18" t="s">
        <v>24</v>
      </c>
      <c r="C10" s="24" t="s">
        <v>43</v>
      </c>
      <c r="D10" s="20">
        <v>37.5</v>
      </c>
      <c r="E10" s="25" t="s">
        <v>44</v>
      </c>
      <c r="F10" s="20">
        <v>38.5</v>
      </c>
      <c r="G10" s="25" t="s">
        <v>45</v>
      </c>
      <c r="H10" s="20">
        <v>39.5</v>
      </c>
      <c r="I10" s="20" t="s">
        <v>46</v>
      </c>
      <c r="J10" s="22">
        <v>10.5</v>
      </c>
    </row>
    <row r="11" spans="1:10" ht="19.149999999999999" customHeight="1" x14ac:dyDescent="0.2">
      <c r="A11" s="26" t="s">
        <v>47</v>
      </c>
      <c r="B11" s="27" t="s">
        <v>48</v>
      </c>
      <c r="C11" s="28" t="s">
        <v>49</v>
      </c>
      <c r="D11" s="29">
        <v>6.25</v>
      </c>
      <c r="E11" s="29">
        <v>6.5</v>
      </c>
      <c r="F11" s="29">
        <v>6.75</v>
      </c>
      <c r="G11" s="30" t="s">
        <v>50</v>
      </c>
      <c r="H11" s="29">
        <v>7.25</v>
      </c>
      <c r="I11" s="29">
        <v>7.5</v>
      </c>
      <c r="J11" s="31">
        <v>7.75</v>
      </c>
    </row>
    <row r="12" spans="1:10" ht="19.149999999999999" customHeight="1" x14ac:dyDescent="0.2">
      <c r="A12" s="26" t="s">
        <v>51</v>
      </c>
      <c r="B12" s="27" t="s">
        <v>48</v>
      </c>
      <c r="C12" s="28" t="s">
        <v>52</v>
      </c>
      <c r="D12" s="29">
        <v>4.25</v>
      </c>
      <c r="E12" s="29">
        <v>4.53</v>
      </c>
      <c r="F12" s="29">
        <v>4.75</v>
      </c>
      <c r="G12" s="30" t="s">
        <v>53</v>
      </c>
      <c r="H12" s="29">
        <v>5.25</v>
      </c>
      <c r="I12" s="29">
        <v>5.5</v>
      </c>
      <c r="J12" s="31">
        <v>5.75</v>
      </c>
    </row>
    <row r="13" spans="1:10" ht="19.149999999999999" customHeight="1" x14ac:dyDescent="0.2">
      <c r="A13" s="32" t="s">
        <v>54</v>
      </c>
      <c r="B13" s="27" t="s">
        <v>48</v>
      </c>
      <c r="C13" s="33">
        <v>2.5</v>
      </c>
      <c r="D13" s="29">
        <v>2.5</v>
      </c>
      <c r="E13" s="29">
        <v>2.5</v>
      </c>
      <c r="F13" s="29">
        <v>2.5</v>
      </c>
      <c r="G13" s="29">
        <v>2.5</v>
      </c>
      <c r="H13" s="29">
        <v>2.5</v>
      </c>
      <c r="I13" s="29">
        <v>2.5</v>
      </c>
      <c r="J13" s="31">
        <v>2.5</v>
      </c>
    </row>
    <row r="14" spans="1:10" ht="19.149999999999999" customHeight="1" x14ac:dyDescent="0.2">
      <c r="A14" s="26" t="s">
        <v>55</v>
      </c>
      <c r="B14" s="27" t="s">
        <v>48</v>
      </c>
      <c r="C14" s="33">
        <v>0.75</v>
      </c>
      <c r="D14" s="29">
        <v>0.75</v>
      </c>
      <c r="E14" s="29">
        <v>0.75</v>
      </c>
      <c r="F14" s="29">
        <v>0.75</v>
      </c>
      <c r="G14" s="29">
        <v>0.75</v>
      </c>
      <c r="H14" s="29">
        <v>0.75</v>
      </c>
      <c r="I14" s="29">
        <v>0.75</v>
      </c>
      <c r="J14" s="31">
        <v>0.75</v>
      </c>
    </row>
    <row r="15" spans="1:10" ht="19.149999999999999" customHeight="1" x14ac:dyDescent="0.2">
      <c r="A15" s="23" t="s">
        <v>56</v>
      </c>
      <c r="B15" s="27" t="s">
        <v>48</v>
      </c>
      <c r="C15" s="34">
        <v>9.5</v>
      </c>
      <c r="D15" s="35" t="s">
        <v>57</v>
      </c>
      <c r="E15" s="36">
        <v>10</v>
      </c>
      <c r="F15" s="35">
        <v>10.25</v>
      </c>
      <c r="G15" s="35">
        <f>D15+0.75</f>
        <v>10.5</v>
      </c>
      <c r="H15" s="35" t="s">
        <v>58</v>
      </c>
      <c r="I15" s="36">
        <v>11</v>
      </c>
      <c r="J15" s="37">
        <v>11.25</v>
      </c>
    </row>
    <row r="16" spans="1:10" ht="19.149999999999999" customHeight="1" x14ac:dyDescent="0.2">
      <c r="A16" s="23" t="s">
        <v>59</v>
      </c>
      <c r="B16" s="27" t="s">
        <v>48</v>
      </c>
      <c r="C16" s="34">
        <v>3.5</v>
      </c>
      <c r="D16" s="35">
        <f>E16-0.25</f>
        <v>3.75</v>
      </c>
      <c r="E16" s="36">
        <v>4</v>
      </c>
      <c r="F16" s="35">
        <f>E16+0.25</f>
        <v>4.25</v>
      </c>
      <c r="G16" s="35" t="s">
        <v>60</v>
      </c>
      <c r="H16" s="35">
        <f>E16+0.75</f>
        <v>4.75</v>
      </c>
      <c r="I16" s="38" t="s">
        <v>53</v>
      </c>
      <c r="J16" s="31">
        <v>5.25</v>
      </c>
    </row>
    <row r="17" spans="1:10" ht="19.149999999999999" customHeight="1" x14ac:dyDescent="0.2">
      <c r="A17" s="23" t="s">
        <v>61</v>
      </c>
      <c r="B17" s="27" t="s">
        <v>48</v>
      </c>
      <c r="C17" s="34">
        <f>D17</f>
        <v>1.25</v>
      </c>
      <c r="D17" s="35">
        <v>1.25</v>
      </c>
      <c r="E17" s="35">
        <f>D17</f>
        <v>1.25</v>
      </c>
      <c r="F17" s="35">
        <f>D17</f>
        <v>1.25</v>
      </c>
      <c r="G17" s="35">
        <f>D17</f>
        <v>1.25</v>
      </c>
      <c r="H17" s="35">
        <f>D17</f>
        <v>1.25</v>
      </c>
      <c r="I17" s="35">
        <f>F17</f>
        <v>1.25</v>
      </c>
      <c r="J17" s="37">
        <f>F17</f>
        <v>1.25</v>
      </c>
    </row>
    <row r="18" spans="1:10" ht="19.149999999999999" customHeight="1" x14ac:dyDescent="0.2">
      <c r="A18" s="23" t="s">
        <v>62</v>
      </c>
      <c r="B18" s="27" t="s">
        <v>48</v>
      </c>
      <c r="C18" s="39">
        <f>D18</f>
        <v>28</v>
      </c>
      <c r="D18" s="36">
        <v>28</v>
      </c>
      <c r="E18" s="36">
        <f>D18</f>
        <v>28</v>
      </c>
      <c r="F18" s="36">
        <f>D18</f>
        <v>28</v>
      </c>
      <c r="G18" s="36">
        <f>D18</f>
        <v>28</v>
      </c>
      <c r="H18" s="36">
        <f>D18</f>
        <v>28</v>
      </c>
      <c r="I18" s="36">
        <f>F18</f>
        <v>28</v>
      </c>
      <c r="J18" s="40">
        <f>F18</f>
        <v>28</v>
      </c>
    </row>
    <row r="19" spans="1:10" ht="19.149999999999999" customHeight="1" thickBot="1" x14ac:dyDescent="0.25">
      <c r="A19" s="41" t="s">
        <v>63</v>
      </c>
      <c r="B19" s="42" t="s">
        <v>24</v>
      </c>
      <c r="C19" s="43" t="s">
        <v>64</v>
      </c>
      <c r="D19" s="44" t="s">
        <v>65</v>
      </c>
      <c r="E19" s="44" t="s">
        <v>66</v>
      </c>
      <c r="F19" s="44" t="s">
        <v>67</v>
      </c>
      <c r="G19" s="44" t="s">
        <v>68</v>
      </c>
      <c r="H19" s="44" t="s">
        <v>69</v>
      </c>
      <c r="I19" s="45" t="s">
        <v>70</v>
      </c>
      <c r="J19" s="46" t="s">
        <v>43</v>
      </c>
    </row>
    <row r="20" spans="1:10" s="10" customFormat="1" ht="19.5" customHeight="1" x14ac:dyDescent="0.25">
      <c r="A20" s="47"/>
      <c r="B20" s="48"/>
      <c r="C20" s="48"/>
      <c r="D20" s="48"/>
      <c r="E20" s="48"/>
    </row>
    <row r="21" spans="1:10" ht="19.5" customHeight="1" thickBot="1" x14ac:dyDescent="0.25">
      <c r="J21" s="10"/>
    </row>
    <row r="22" spans="1:10" s="10" customFormat="1" ht="19.5" customHeight="1" thickBot="1" x14ac:dyDescent="0.3">
      <c r="A22" s="49" t="s">
        <v>71</v>
      </c>
      <c r="B22" s="50" t="s">
        <v>2</v>
      </c>
      <c r="C22" s="51" t="s">
        <v>72</v>
      </c>
      <c r="D22" s="52" t="s">
        <v>73</v>
      </c>
      <c r="E22" s="52" t="s">
        <v>74</v>
      </c>
      <c r="F22" s="52" t="s">
        <v>75</v>
      </c>
      <c r="G22" s="52" t="s">
        <v>76</v>
      </c>
      <c r="H22" s="52" t="s">
        <v>77</v>
      </c>
      <c r="I22" s="53" t="s">
        <v>78</v>
      </c>
    </row>
    <row r="23" spans="1:10" ht="19.149999999999999" customHeight="1" x14ac:dyDescent="0.2">
      <c r="A23" s="54" t="s">
        <v>11</v>
      </c>
      <c r="B23" s="55" t="s">
        <v>12</v>
      </c>
      <c r="C23" s="56">
        <v>48</v>
      </c>
      <c r="D23" s="57" t="s">
        <v>79</v>
      </c>
      <c r="E23" s="14">
        <f>F23-4</f>
        <v>52</v>
      </c>
      <c r="F23" s="14">
        <v>56</v>
      </c>
      <c r="G23" s="15">
        <f>F23+4</f>
        <v>60</v>
      </c>
      <c r="H23" s="15">
        <f>F23+8</f>
        <v>64</v>
      </c>
      <c r="I23" s="58">
        <f>F23+12</f>
        <v>68</v>
      </c>
    </row>
    <row r="24" spans="1:10" ht="19.149999999999999" customHeight="1" x14ac:dyDescent="0.2">
      <c r="A24" s="26" t="s">
        <v>80</v>
      </c>
      <c r="B24" s="59" t="s">
        <v>12</v>
      </c>
      <c r="C24" s="60" t="s">
        <v>81</v>
      </c>
      <c r="D24" s="61" t="s">
        <v>82</v>
      </c>
      <c r="E24" s="62" t="s">
        <v>15</v>
      </c>
      <c r="F24" s="62" t="s">
        <v>16</v>
      </c>
      <c r="G24" s="63" t="s">
        <v>17</v>
      </c>
      <c r="H24" s="63" t="s">
        <v>18</v>
      </c>
      <c r="I24" s="64" t="s">
        <v>19</v>
      </c>
    </row>
    <row r="25" spans="1:10" ht="19.149999999999999" customHeight="1" x14ac:dyDescent="0.2">
      <c r="A25" s="26" t="s">
        <v>23</v>
      </c>
      <c r="B25" s="59" t="s">
        <v>24</v>
      </c>
      <c r="C25" s="65">
        <v>31.5</v>
      </c>
      <c r="D25" s="61" t="s">
        <v>26</v>
      </c>
      <c r="E25" s="61" t="s">
        <v>27</v>
      </c>
      <c r="F25" s="61" t="s">
        <v>28</v>
      </c>
      <c r="G25" s="61" t="s">
        <v>29</v>
      </c>
      <c r="H25" s="61" t="s">
        <v>30</v>
      </c>
      <c r="I25" s="66" t="s">
        <v>31</v>
      </c>
    </row>
    <row r="26" spans="1:10" ht="19.149999999999999" customHeight="1" x14ac:dyDescent="0.2">
      <c r="A26" s="23" t="s">
        <v>33</v>
      </c>
      <c r="B26" s="59" t="s">
        <v>24</v>
      </c>
      <c r="C26" s="60">
        <v>11</v>
      </c>
      <c r="D26" s="25">
        <v>11.5</v>
      </c>
      <c r="E26" s="61">
        <v>12</v>
      </c>
      <c r="F26" s="25">
        <v>12.5</v>
      </c>
      <c r="G26" s="62">
        <v>13</v>
      </c>
      <c r="H26" s="61">
        <v>13.5</v>
      </c>
      <c r="I26" s="66">
        <v>14</v>
      </c>
    </row>
    <row r="27" spans="1:10" ht="19.149999999999999" customHeight="1" x14ac:dyDescent="0.2">
      <c r="A27" s="26" t="s">
        <v>83</v>
      </c>
      <c r="B27" s="59" t="s">
        <v>48</v>
      </c>
      <c r="C27" s="60">
        <v>38</v>
      </c>
      <c r="D27" s="61" t="s">
        <v>32</v>
      </c>
      <c r="E27" s="61" t="s">
        <v>45</v>
      </c>
      <c r="F27" s="25" t="s">
        <v>84</v>
      </c>
      <c r="G27" s="61" t="s">
        <v>46</v>
      </c>
      <c r="H27" s="61" t="s">
        <v>85</v>
      </c>
      <c r="I27" s="66" t="s">
        <v>86</v>
      </c>
    </row>
    <row r="28" spans="1:10" ht="19.149999999999999" customHeight="1" x14ac:dyDescent="0.2">
      <c r="A28" s="26" t="s">
        <v>87</v>
      </c>
      <c r="B28" s="59" t="s">
        <v>48</v>
      </c>
      <c r="C28" s="60" t="s">
        <v>88</v>
      </c>
      <c r="D28" s="61" t="s">
        <v>89</v>
      </c>
      <c r="E28" s="61" t="s">
        <v>49</v>
      </c>
      <c r="F28" s="25" t="s">
        <v>90</v>
      </c>
      <c r="G28" s="61" t="s">
        <v>91</v>
      </c>
      <c r="H28" s="61" t="s">
        <v>92</v>
      </c>
      <c r="I28" s="66" t="s">
        <v>50</v>
      </c>
    </row>
    <row r="29" spans="1:10" ht="19.149999999999999" customHeight="1" x14ac:dyDescent="0.2">
      <c r="A29" s="26" t="s">
        <v>51</v>
      </c>
      <c r="B29" s="59" t="s">
        <v>48</v>
      </c>
      <c r="C29" s="60" t="s">
        <v>93</v>
      </c>
      <c r="D29" s="61" t="s">
        <v>94</v>
      </c>
      <c r="E29" s="61" t="s">
        <v>52</v>
      </c>
      <c r="F29" s="20">
        <v>4.25</v>
      </c>
      <c r="G29" s="67" t="s">
        <v>60</v>
      </c>
      <c r="H29" s="67" t="s">
        <v>95</v>
      </c>
      <c r="I29" s="68" t="s">
        <v>53</v>
      </c>
    </row>
    <row r="30" spans="1:10" ht="19.149999999999999" customHeight="1" x14ac:dyDescent="0.2">
      <c r="A30" s="32" t="s">
        <v>54</v>
      </c>
      <c r="B30" s="59" t="s">
        <v>48</v>
      </c>
      <c r="C30" s="65">
        <v>2.5</v>
      </c>
      <c r="D30" s="69">
        <v>2.5</v>
      </c>
      <c r="E30" s="25" t="s">
        <v>96</v>
      </c>
      <c r="F30" s="69">
        <v>2.5</v>
      </c>
      <c r="G30" s="70">
        <v>2.5</v>
      </c>
      <c r="H30" s="70">
        <v>2.5</v>
      </c>
      <c r="I30" s="71">
        <v>2.5</v>
      </c>
    </row>
    <row r="31" spans="1:10" ht="19.149999999999999" customHeight="1" x14ac:dyDescent="0.2">
      <c r="A31" s="26" t="s">
        <v>55</v>
      </c>
      <c r="B31" s="59" t="s">
        <v>48</v>
      </c>
      <c r="C31" s="65">
        <v>0.75</v>
      </c>
      <c r="D31" s="69">
        <v>0.75</v>
      </c>
      <c r="E31" s="69">
        <v>0.75</v>
      </c>
      <c r="F31" s="69">
        <v>0.75</v>
      </c>
      <c r="G31" s="70">
        <v>0.75</v>
      </c>
      <c r="H31" s="70">
        <v>0.75</v>
      </c>
      <c r="I31" s="71">
        <v>0.75</v>
      </c>
    </row>
    <row r="32" spans="1:10" ht="19.149999999999999" customHeight="1" x14ac:dyDescent="0.2">
      <c r="A32" s="26" t="s">
        <v>56</v>
      </c>
      <c r="B32" s="59" t="s">
        <v>48</v>
      </c>
      <c r="C32" s="72">
        <v>9</v>
      </c>
      <c r="D32" s="61" t="s">
        <v>97</v>
      </c>
      <c r="E32" s="34">
        <v>9.5</v>
      </c>
      <c r="F32" s="36" t="s">
        <v>57</v>
      </c>
      <c r="G32" s="35">
        <v>10</v>
      </c>
      <c r="H32" s="35">
        <v>10.25</v>
      </c>
      <c r="I32" s="37">
        <f>F32+0.75</f>
        <v>10.5</v>
      </c>
    </row>
    <row r="33" spans="1:9" ht="19.149999999999999" customHeight="1" x14ac:dyDescent="0.2">
      <c r="A33" s="26" t="s">
        <v>59</v>
      </c>
      <c r="B33" s="59" t="s">
        <v>24</v>
      </c>
      <c r="C33" s="65">
        <v>3</v>
      </c>
      <c r="D33" s="61" t="s">
        <v>98</v>
      </c>
      <c r="E33" s="25">
        <v>3.5</v>
      </c>
      <c r="F33" s="25">
        <v>3.75</v>
      </c>
      <c r="G33" s="67">
        <v>4</v>
      </c>
      <c r="H33" s="30">
        <v>4.25</v>
      </c>
      <c r="I33" s="73">
        <v>4.5</v>
      </c>
    </row>
    <row r="34" spans="1:9" ht="19.149999999999999" customHeight="1" x14ac:dyDescent="0.2">
      <c r="A34" s="26" t="s">
        <v>99</v>
      </c>
      <c r="B34" s="59" t="s">
        <v>24</v>
      </c>
      <c r="C34" s="65">
        <v>1.25</v>
      </c>
      <c r="D34" s="69">
        <v>1.25</v>
      </c>
      <c r="E34" s="69">
        <v>1.25</v>
      </c>
      <c r="F34" s="69">
        <v>1.25</v>
      </c>
      <c r="G34" s="35" t="s">
        <v>100</v>
      </c>
      <c r="H34" s="70">
        <v>1.25</v>
      </c>
      <c r="I34" s="71">
        <v>1.25</v>
      </c>
    </row>
    <row r="35" spans="1:9" ht="19.149999999999999" customHeight="1" x14ac:dyDescent="0.2">
      <c r="A35" s="26" t="s">
        <v>101</v>
      </c>
      <c r="B35" s="59" t="s">
        <v>48</v>
      </c>
      <c r="C35" s="74" t="s">
        <v>102</v>
      </c>
      <c r="D35" s="61" t="s">
        <v>102</v>
      </c>
      <c r="E35" s="61" t="s">
        <v>102</v>
      </c>
      <c r="F35" s="61" t="s">
        <v>102</v>
      </c>
      <c r="G35" s="67" t="s">
        <v>102</v>
      </c>
      <c r="H35" s="67" t="s">
        <v>102</v>
      </c>
      <c r="I35" s="68" t="s">
        <v>102</v>
      </c>
    </row>
    <row r="36" spans="1:9" ht="19.149999999999999" customHeight="1" thickBot="1" x14ac:dyDescent="0.25">
      <c r="A36" s="75" t="s">
        <v>63</v>
      </c>
      <c r="B36" s="76" t="s">
        <v>48</v>
      </c>
      <c r="C36" s="77">
        <v>19</v>
      </c>
      <c r="D36" s="78">
        <v>21</v>
      </c>
      <c r="E36" s="43" t="s">
        <v>64</v>
      </c>
      <c r="F36" s="44" t="s">
        <v>65</v>
      </c>
      <c r="G36" s="44" t="s">
        <v>66</v>
      </c>
      <c r="H36" s="44" t="s">
        <v>67</v>
      </c>
      <c r="I36" s="79" t="s">
        <v>68</v>
      </c>
    </row>
    <row r="37" spans="1:9" x14ac:dyDescent="0.2">
      <c r="G37" s="80"/>
      <c r="H37" s="80"/>
      <c r="I37" s="80"/>
    </row>
    <row r="38" spans="1:9" x14ac:dyDescent="0.2">
      <c r="A38" s="81" t="s">
        <v>103</v>
      </c>
    </row>
    <row r="39" spans="1:9" x14ac:dyDescent="0.2">
      <c r="A39" s="82" t="s">
        <v>104</v>
      </c>
    </row>
    <row r="41" spans="1:9" x14ac:dyDescent="0.2">
      <c r="A41" s="83"/>
    </row>
  </sheetData>
  <pageMargins left="0.56000000000000005" right="0.17" top="0.21" bottom="0.22" header="0.17" footer="0.16"/>
  <pageSetup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yukiar.endo</dc:creator>
  <cp:lastModifiedBy>sanjeev mangal</cp:lastModifiedBy>
  <dcterms:created xsi:type="dcterms:W3CDTF">2020-12-23T18:15:58Z</dcterms:created>
  <dcterms:modified xsi:type="dcterms:W3CDTF">2024-08-05T18:19:31Z</dcterms:modified>
</cp:coreProperties>
</file>